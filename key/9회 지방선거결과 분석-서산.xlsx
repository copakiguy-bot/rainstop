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9회 지방선거 결과 분석\"/>
    </mc:Choice>
  </mc:AlternateContent>
  <xr:revisionPtr revIDLastSave="0" documentId="13_ncr:1_{8323CC7A-086F-4CDA-8073-48C2C70E2C1C}" xr6:coauthVersionLast="47" xr6:coauthVersionMax="47" xr10:uidLastSave="{00000000-0000-0000-0000-000000000000}"/>
  <bookViews>
    <workbookView xWindow="-108" yWindow="-108" windowWidth="23256" windowHeight="12456" activeTab="1" xr2:uid="{71660891-DDAC-4D27-B07A-1B70D3CE9807}"/>
  </bookViews>
  <sheets>
    <sheet name="선거인수" sheetId="15" r:id="rId1"/>
    <sheet name="동읍면선거인수" sheetId="16" r:id="rId2"/>
    <sheet name="총인구" sheetId="13" r:id="rId3"/>
    <sheet name="동읍면인구" sheetId="14" r:id="rId4"/>
    <sheet name="최종분석" sheetId="12" r:id="rId5"/>
    <sheet name="도지사" sheetId="2" r:id="rId6"/>
    <sheet name="시장" sheetId="3" r:id="rId7"/>
    <sheet name="도(1) ,시(가,나)의원" sheetId="4" r:id="rId8"/>
    <sheet name="도(2),시(다,라)의원" sheetId="5" r:id="rId9"/>
    <sheet name="도(3),시(마,바)의원" sheetId="6" r:id="rId10"/>
    <sheet name="광역비례대표" sheetId="8" r:id="rId11"/>
    <sheet name="기초비례대표" sheetId="9" r:id="rId12"/>
    <sheet name="교육감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6" l="1"/>
  <c r="U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S5" i="16"/>
  <c r="Q5" i="16"/>
  <c r="O5" i="16"/>
  <c r="M5" i="16"/>
  <c r="K5" i="16"/>
  <c r="I5" i="16"/>
  <c r="G5" i="16"/>
  <c r="E5" i="16"/>
  <c r="C24" i="13"/>
  <c r="C25" i="13" l="1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N40" i="13"/>
  <c r="N38" i="13"/>
  <c r="N36" i="13"/>
  <c r="N34" i="13"/>
  <c r="N32" i="13"/>
  <c r="N30" i="13"/>
  <c r="N28" i="13"/>
  <c r="N26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E24" i="13"/>
  <c r="M24" i="13"/>
  <c r="L24" i="13"/>
  <c r="K24" i="13"/>
  <c r="J24" i="13"/>
  <c r="I24" i="13"/>
  <c r="H24" i="13"/>
  <c r="G24" i="13"/>
  <c r="F24" i="13"/>
  <c r="D24" i="13"/>
  <c r="N43" i="13" l="1"/>
  <c r="M43" i="13"/>
  <c r="L43" i="13"/>
  <c r="K43" i="13"/>
  <c r="J43" i="13"/>
  <c r="I43" i="13"/>
  <c r="H43" i="13"/>
  <c r="G43" i="13"/>
  <c r="F43" i="13"/>
  <c r="E43" i="13"/>
  <c r="D43" i="13"/>
  <c r="C43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C21" i="13"/>
  <c r="D22" i="15"/>
  <c r="E22" i="15"/>
  <c r="F22" i="15"/>
  <c r="G22" i="15"/>
  <c r="D21" i="15"/>
  <c r="E21" i="15"/>
  <c r="F21" i="15"/>
  <c r="G21" i="15"/>
  <c r="C22" i="15"/>
  <c r="C21" i="15"/>
  <c r="D19" i="15"/>
  <c r="E19" i="15"/>
  <c r="F19" i="15"/>
  <c r="G19" i="15"/>
  <c r="D17" i="15"/>
  <c r="E17" i="15"/>
  <c r="F17" i="15"/>
  <c r="G17" i="15"/>
  <c r="D15" i="15"/>
  <c r="E15" i="15"/>
  <c r="F15" i="15"/>
  <c r="G15" i="15"/>
  <c r="D13" i="15"/>
  <c r="E13" i="15"/>
  <c r="F13" i="15"/>
  <c r="G13" i="15"/>
  <c r="D11" i="15"/>
  <c r="E11" i="15"/>
  <c r="F11" i="15"/>
  <c r="G11" i="15"/>
  <c r="D9" i="15"/>
  <c r="E9" i="15"/>
  <c r="F9" i="15"/>
  <c r="G9" i="15"/>
  <c r="D7" i="15"/>
  <c r="E7" i="15"/>
  <c r="F7" i="15"/>
  <c r="G7" i="15"/>
  <c r="D5" i="15"/>
  <c r="E5" i="15"/>
  <c r="F5" i="15"/>
  <c r="G5" i="15"/>
  <c r="C19" i="15"/>
  <c r="C17" i="15"/>
  <c r="C15" i="15"/>
  <c r="C13" i="15"/>
  <c r="C11" i="15"/>
  <c r="C9" i="15"/>
  <c r="C7" i="15"/>
  <c r="C5" i="15"/>
  <c r="H4" i="14"/>
  <c r="U4" i="14" l="1"/>
  <c r="T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R4" i="14"/>
  <c r="P4" i="14"/>
  <c r="N4" i="14"/>
  <c r="L4" i="14"/>
  <c r="J4" i="14"/>
  <c r="F4" i="14"/>
  <c r="D4" i="14"/>
  <c r="D21" i="13" l="1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C20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C18" i="13"/>
  <c r="C16" i="13"/>
  <c r="C14" i="13"/>
  <c r="C12" i="13"/>
  <c r="C10" i="13"/>
  <c r="C8" i="13"/>
  <c r="C6" i="13"/>
  <c r="C4" i="13"/>
  <c r="O5" i="12" l="1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4" i="12"/>
  <c r="E167" i="12"/>
  <c r="N184" i="12"/>
  <c r="N185" i="12"/>
  <c r="N186" i="12"/>
  <c r="N187" i="12"/>
  <c r="M184" i="12"/>
  <c r="M185" i="12"/>
  <c r="M186" i="12"/>
  <c r="M187" i="12"/>
  <c r="L184" i="12"/>
  <c r="L185" i="12"/>
  <c r="L186" i="12"/>
  <c r="L187" i="12"/>
  <c r="M182" i="12"/>
  <c r="L182" i="12"/>
  <c r="N182" i="12" s="1"/>
  <c r="H183" i="12"/>
  <c r="H184" i="12"/>
  <c r="H185" i="12"/>
  <c r="H186" i="12"/>
  <c r="H187" i="12"/>
  <c r="G183" i="12"/>
  <c r="G184" i="12"/>
  <c r="G185" i="12"/>
  <c r="G186" i="12"/>
  <c r="G187" i="12"/>
  <c r="F183" i="12"/>
  <c r="F184" i="12"/>
  <c r="F185" i="12"/>
  <c r="F186" i="12"/>
  <c r="F187" i="12"/>
  <c r="K184" i="12"/>
  <c r="K185" i="12"/>
  <c r="K186" i="12"/>
  <c r="K187" i="12"/>
  <c r="K182" i="12"/>
  <c r="G182" i="12"/>
  <c r="F182" i="12"/>
  <c r="H182" i="12" s="1"/>
  <c r="E183" i="12"/>
  <c r="E184" i="12"/>
  <c r="E185" i="12"/>
  <c r="E186" i="12"/>
  <c r="E187" i="12"/>
  <c r="E182" i="12"/>
  <c r="N173" i="12"/>
  <c r="N174" i="12"/>
  <c r="N175" i="12"/>
  <c r="N176" i="12"/>
  <c r="N177" i="12"/>
  <c r="N172" i="12"/>
  <c r="M173" i="12"/>
  <c r="M174" i="12"/>
  <c r="M175" i="12"/>
  <c r="M176" i="12"/>
  <c r="M177" i="12"/>
  <c r="M172" i="12"/>
  <c r="L177" i="12"/>
  <c r="L176" i="12"/>
  <c r="L175" i="12"/>
  <c r="L174" i="12"/>
  <c r="L173" i="12"/>
  <c r="L172" i="12"/>
  <c r="K173" i="12"/>
  <c r="K174" i="12"/>
  <c r="K175" i="12"/>
  <c r="K176" i="12"/>
  <c r="K177" i="12"/>
  <c r="K172" i="12"/>
  <c r="H173" i="12"/>
  <c r="N166" i="12"/>
  <c r="M166" i="12"/>
  <c r="L166" i="12"/>
  <c r="E176" i="12"/>
  <c r="H172" i="12"/>
  <c r="G172" i="12"/>
  <c r="F172" i="12"/>
  <c r="E174" i="12"/>
  <c r="E173" i="12"/>
  <c r="E172" i="12"/>
  <c r="G164" i="12"/>
  <c r="G165" i="12"/>
  <c r="G166" i="12"/>
  <c r="G167" i="12"/>
  <c r="G168" i="12"/>
  <c r="H163" i="12"/>
  <c r="G163" i="12"/>
  <c r="F163" i="12"/>
  <c r="E163" i="12"/>
  <c r="G177" i="12"/>
  <c r="F177" i="12"/>
  <c r="E177" i="12"/>
  <c r="G176" i="12"/>
  <c r="F176" i="12"/>
  <c r="E175" i="12"/>
  <c r="G174" i="12"/>
  <c r="F174" i="12"/>
  <c r="G173" i="12"/>
  <c r="F173" i="12"/>
  <c r="B166" i="12"/>
  <c r="F166" i="12" s="1"/>
  <c r="D165" i="12"/>
  <c r="C165" i="12"/>
  <c r="B165" i="12"/>
  <c r="F164" i="12"/>
  <c r="E164" i="12"/>
  <c r="F168" i="12"/>
  <c r="E168" i="12"/>
  <c r="M167" i="12"/>
  <c r="L167" i="12"/>
  <c r="F167" i="12"/>
  <c r="E166" i="12"/>
  <c r="L164" i="12"/>
  <c r="J164" i="12"/>
  <c r="M164" i="12" s="1"/>
  <c r="N164" i="12" s="1"/>
  <c r="M158" i="12"/>
  <c r="E155" i="12"/>
  <c r="J157" i="12"/>
  <c r="I157" i="12"/>
  <c r="D157" i="12"/>
  <c r="C157" i="12"/>
  <c r="B157" i="12"/>
  <c r="J156" i="12"/>
  <c r="D156" i="12"/>
  <c r="I156" i="12"/>
  <c r="C156" i="12"/>
  <c r="E156" i="12" s="1"/>
  <c r="B156" i="12"/>
  <c r="G156" i="12" s="1"/>
  <c r="G159" i="12"/>
  <c r="F159" i="12"/>
  <c r="E159" i="12"/>
  <c r="I158" i="12"/>
  <c r="L158" i="12" s="1"/>
  <c r="G158" i="12"/>
  <c r="F158" i="12"/>
  <c r="E158" i="12"/>
  <c r="L155" i="12"/>
  <c r="J155" i="12"/>
  <c r="M155" i="12" s="1"/>
  <c r="G155" i="12"/>
  <c r="F155" i="12"/>
  <c r="F154" i="12"/>
  <c r="E154" i="12"/>
  <c r="G154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32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M110" i="12"/>
  <c r="L11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K127" i="12"/>
  <c r="J127" i="12"/>
  <c r="K126" i="12"/>
  <c r="J126" i="12"/>
  <c r="K125" i="12"/>
  <c r="J125" i="12"/>
  <c r="K124" i="12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H101" i="12"/>
  <c r="H102" i="12"/>
  <c r="H103" i="12"/>
  <c r="H104" i="12"/>
  <c r="H105" i="12"/>
  <c r="H100" i="12"/>
  <c r="L92" i="12"/>
  <c r="L93" i="12"/>
  <c r="L94" i="12"/>
  <c r="L95" i="12"/>
  <c r="L96" i="12"/>
  <c r="L97" i="12"/>
  <c r="K92" i="12"/>
  <c r="K93" i="12"/>
  <c r="K94" i="12"/>
  <c r="K95" i="12"/>
  <c r="K96" i="12"/>
  <c r="K97" i="12"/>
  <c r="L91" i="12"/>
  <c r="K91" i="12"/>
  <c r="G79" i="12"/>
  <c r="G80" i="12"/>
  <c r="G81" i="12"/>
  <c r="G82" i="12"/>
  <c r="G83" i="12"/>
  <c r="G84" i="12"/>
  <c r="G85" i="12"/>
  <c r="G86" i="12"/>
  <c r="G87" i="12"/>
  <c r="G78" i="12"/>
  <c r="L4" i="2"/>
  <c r="K4" i="2"/>
  <c r="O4" i="3"/>
  <c r="N4" i="3"/>
  <c r="M4" i="3"/>
  <c r="N3" i="10"/>
  <c r="M3" i="10"/>
  <c r="L3" i="9"/>
  <c r="K3" i="9"/>
  <c r="W3" i="8"/>
  <c r="V3" i="8"/>
  <c r="U3" i="8"/>
  <c r="T3" i="8"/>
  <c r="S3" i="8"/>
  <c r="R3" i="8"/>
  <c r="Q3" i="8"/>
  <c r="P3" i="8"/>
  <c r="N56" i="6"/>
  <c r="M56" i="6"/>
  <c r="L56" i="6"/>
  <c r="R35" i="6"/>
  <c r="P35" i="6"/>
  <c r="O35" i="6"/>
  <c r="L5" i="6"/>
  <c r="K5" i="6"/>
  <c r="O44" i="4"/>
  <c r="N44" i="4"/>
  <c r="M44" i="4"/>
  <c r="R29" i="4"/>
  <c r="Q29" i="4"/>
  <c r="P29" i="4"/>
  <c r="O29" i="4"/>
  <c r="P5" i="4"/>
  <c r="N5" i="4"/>
  <c r="M5" i="4"/>
  <c r="K71" i="12"/>
  <c r="K72" i="12"/>
  <c r="K73" i="12"/>
  <c r="P38" i="5"/>
  <c r="O38" i="5"/>
  <c r="N38" i="5"/>
  <c r="L5" i="5"/>
  <c r="K5" i="5"/>
  <c r="M23" i="5"/>
  <c r="L23" i="5"/>
  <c r="R39" i="5"/>
  <c r="R40" i="5"/>
  <c r="R41" i="5"/>
  <c r="R42" i="5"/>
  <c r="R43" i="5"/>
  <c r="Q39" i="5"/>
  <c r="Q40" i="5"/>
  <c r="Q41" i="5"/>
  <c r="Q42" i="5"/>
  <c r="Q43" i="5"/>
  <c r="R38" i="5"/>
  <c r="Q38" i="5"/>
  <c r="K70" i="12"/>
  <c r="J71" i="12"/>
  <c r="J72" i="12"/>
  <c r="J73" i="12"/>
  <c r="J70" i="12"/>
  <c r="H64" i="12"/>
  <c r="H65" i="12"/>
  <c r="H66" i="12"/>
  <c r="H67" i="12"/>
  <c r="H63" i="12"/>
  <c r="G55" i="12"/>
  <c r="G56" i="12"/>
  <c r="G57" i="12"/>
  <c r="G58" i="12"/>
  <c r="G59" i="12"/>
  <c r="G54" i="12"/>
  <c r="G105" i="12"/>
  <c r="G104" i="12"/>
  <c r="G103" i="12"/>
  <c r="G102" i="12"/>
  <c r="G101" i="12"/>
  <c r="G100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F87" i="12"/>
  <c r="F86" i="12"/>
  <c r="F85" i="12"/>
  <c r="F84" i="12"/>
  <c r="F83" i="12"/>
  <c r="F82" i="12"/>
  <c r="F81" i="12"/>
  <c r="F80" i="12"/>
  <c r="F79" i="12"/>
  <c r="F78" i="12"/>
  <c r="I46" i="12"/>
  <c r="I73" i="12"/>
  <c r="H73" i="12"/>
  <c r="I72" i="12"/>
  <c r="H72" i="12"/>
  <c r="I71" i="12"/>
  <c r="H71" i="12"/>
  <c r="I70" i="12"/>
  <c r="H70" i="12"/>
  <c r="G67" i="12"/>
  <c r="G66" i="12"/>
  <c r="G65" i="12"/>
  <c r="G64" i="12"/>
  <c r="G63" i="12"/>
  <c r="F59" i="12"/>
  <c r="F58" i="12"/>
  <c r="F57" i="12"/>
  <c r="F56" i="12"/>
  <c r="F55" i="12"/>
  <c r="F54" i="12"/>
  <c r="I45" i="12"/>
  <c r="I47" i="12"/>
  <c r="I48" i="12"/>
  <c r="I49" i="12"/>
  <c r="I44" i="12"/>
  <c r="L38" i="12"/>
  <c r="L39" i="12"/>
  <c r="L40" i="12"/>
  <c r="L41" i="12"/>
  <c r="K38" i="12"/>
  <c r="K39" i="12"/>
  <c r="K40" i="12"/>
  <c r="K41" i="12"/>
  <c r="L37" i="12"/>
  <c r="K37" i="12"/>
  <c r="Q11" i="4"/>
  <c r="H49" i="12"/>
  <c r="H48" i="12"/>
  <c r="H47" i="12"/>
  <c r="H46" i="12"/>
  <c r="H45" i="12"/>
  <c r="H44" i="12"/>
  <c r="J41" i="12"/>
  <c r="I41" i="12"/>
  <c r="J40" i="12"/>
  <c r="I40" i="12"/>
  <c r="J39" i="12"/>
  <c r="I39" i="12"/>
  <c r="J38" i="12"/>
  <c r="I38" i="12"/>
  <c r="J37" i="12"/>
  <c r="I37" i="12"/>
  <c r="K11" i="4"/>
  <c r="J27" i="12"/>
  <c r="J28" i="12"/>
  <c r="J29" i="12"/>
  <c r="J31" i="12"/>
  <c r="J32" i="12"/>
  <c r="J33" i="12"/>
  <c r="J30" i="12"/>
  <c r="I27" i="12"/>
  <c r="I28" i="12"/>
  <c r="I29" i="12"/>
  <c r="I31" i="12"/>
  <c r="I32" i="12"/>
  <c r="I33" i="12"/>
  <c r="I30" i="12"/>
  <c r="J26" i="12"/>
  <c r="I26" i="12"/>
  <c r="H26" i="12"/>
  <c r="H30" i="12"/>
  <c r="G30" i="12"/>
  <c r="H33" i="12"/>
  <c r="G33" i="12"/>
  <c r="H32" i="12"/>
  <c r="G32" i="12"/>
  <c r="H31" i="12"/>
  <c r="G31" i="12"/>
  <c r="H29" i="12"/>
  <c r="G29" i="12"/>
  <c r="H28" i="12"/>
  <c r="G28" i="12"/>
  <c r="H27" i="12"/>
  <c r="G27" i="12"/>
  <c r="G26" i="12"/>
  <c r="N4" i="12"/>
  <c r="M4" i="12"/>
  <c r="L4" i="12"/>
  <c r="G4" i="12"/>
  <c r="F4" i="12"/>
  <c r="N3" i="8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O3" i="10"/>
  <c r="L3" i="10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M3" i="9"/>
  <c r="J3" i="9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U4" i="8"/>
  <c r="U5" i="8"/>
  <c r="U6" i="8"/>
  <c r="U7" i="8"/>
  <c r="U8" i="8"/>
  <c r="U9" i="8"/>
  <c r="U10" i="8"/>
  <c r="W10" i="8" s="1"/>
  <c r="U11" i="8"/>
  <c r="W11" i="8" s="1"/>
  <c r="U12" i="8"/>
  <c r="W12" i="8" s="1"/>
  <c r="U13" i="8"/>
  <c r="U14" i="8"/>
  <c r="U15" i="8"/>
  <c r="U16" i="8"/>
  <c r="U17" i="8"/>
  <c r="U18" i="8"/>
  <c r="U19" i="8"/>
  <c r="U20" i="8"/>
  <c r="U21" i="8"/>
  <c r="U22" i="8"/>
  <c r="W22" i="8" s="1"/>
  <c r="U23" i="8"/>
  <c r="W23" i="8" s="1"/>
  <c r="U24" i="8"/>
  <c r="W24" i="8" s="1"/>
  <c r="U25" i="8"/>
  <c r="U26" i="8"/>
  <c r="U27" i="8"/>
  <c r="U28" i="8"/>
  <c r="U29" i="8"/>
  <c r="U30" i="8"/>
  <c r="U31" i="8"/>
  <c r="U32" i="8"/>
  <c r="U33" i="8"/>
  <c r="U34" i="8"/>
  <c r="W34" i="8" s="1"/>
  <c r="U35" i="8"/>
  <c r="W35" i="8" s="1"/>
  <c r="U36" i="8"/>
  <c r="W36" i="8" s="1"/>
  <c r="U37" i="8"/>
  <c r="U38" i="8"/>
  <c r="U39" i="8"/>
  <c r="U40" i="8"/>
  <c r="U41" i="8"/>
  <c r="U42" i="8"/>
  <c r="U43" i="8"/>
  <c r="U44" i="8"/>
  <c r="U45" i="8"/>
  <c r="U46" i="8"/>
  <c r="W46" i="8" s="1"/>
  <c r="U47" i="8"/>
  <c r="W47" i="8" s="1"/>
  <c r="U48" i="8"/>
  <c r="W48" i="8" s="1"/>
  <c r="U49" i="8"/>
  <c r="U50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P4" i="8"/>
  <c r="P5" i="8"/>
  <c r="W5" i="8" s="1"/>
  <c r="P6" i="8"/>
  <c r="P7" i="8"/>
  <c r="P8" i="8"/>
  <c r="P9" i="8"/>
  <c r="P10" i="8"/>
  <c r="P11" i="8"/>
  <c r="P12" i="8"/>
  <c r="P13" i="8"/>
  <c r="P14" i="8"/>
  <c r="P15" i="8"/>
  <c r="P16" i="8"/>
  <c r="P17" i="8"/>
  <c r="W17" i="8" s="1"/>
  <c r="P18" i="8"/>
  <c r="P19" i="8"/>
  <c r="P20" i="8"/>
  <c r="P21" i="8"/>
  <c r="W21" i="8" s="1"/>
  <c r="P22" i="8"/>
  <c r="P23" i="8"/>
  <c r="P24" i="8"/>
  <c r="P25" i="8"/>
  <c r="P26" i="8"/>
  <c r="P27" i="8"/>
  <c r="P28" i="8"/>
  <c r="P29" i="8"/>
  <c r="W29" i="8" s="1"/>
  <c r="P30" i="8"/>
  <c r="P31" i="8"/>
  <c r="P32" i="8"/>
  <c r="P33" i="8"/>
  <c r="W33" i="8" s="1"/>
  <c r="P34" i="8"/>
  <c r="P35" i="8"/>
  <c r="P36" i="8"/>
  <c r="P37" i="8"/>
  <c r="P38" i="8"/>
  <c r="P39" i="8"/>
  <c r="P40" i="8"/>
  <c r="P41" i="8"/>
  <c r="W41" i="8" s="1"/>
  <c r="P42" i="8"/>
  <c r="P43" i="8"/>
  <c r="P44" i="8"/>
  <c r="P45" i="8"/>
  <c r="P46" i="8"/>
  <c r="P47" i="8"/>
  <c r="P48" i="8"/>
  <c r="P49" i="8"/>
  <c r="P50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3" i="8"/>
  <c r="N57" i="6"/>
  <c r="N58" i="6"/>
  <c r="N59" i="6"/>
  <c r="N60" i="6"/>
  <c r="N61" i="6"/>
  <c r="N62" i="6"/>
  <c r="N63" i="6"/>
  <c r="N64" i="6"/>
  <c r="N65" i="6"/>
  <c r="N66" i="6"/>
  <c r="N67" i="6"/>
  <c r="M57" i="6"/>
  <c r="M58" i="6"/>
  <c r="M59" i="6"/>
  <c r="M60" i="6"/>
  <c r="M61" i="6"/>
  <c r="M62" i="6"/>
  <c r="M63" i="6"/>
  <c r="M64" i="6"/>
  <c r="M65" i="6"/>
  <c r="M66" i="6"/>
  <c r="M67" i="6"/>
  <c r="L57" i="6"/>
  <c r="L58" i="6"/>
  <c r="L59" i="6"/>
  <c r="L60" i="6"/>
  <c r="L61" i="6"/>
  <c r="L62" i="6"/>
  <c r="L63" i="6"/>
  <c r="L64" i="6"/>
  <c r="L65" i="6"/>
  <c r="L66" i="6"/>
  <c r="L67" i="6"/>
  <c r="K57" i="6"/>
  <c r="K58" i="6"/>
  <c r="K59" i="6"/>
  <c r="K60" i="6"/>
  <c r="K61" i="6"/>
  <c r="K62" i="6"/>
  <c r="K63" i="6"/>
  <c r="K64" i="6"/>
  <c r="K65" i="6"/>
  <c r="K66" i="6"/>
  <c r="K67" i="6"/>
  <c r="K56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35" i="6"/>
  <c r="M6" i="6"/>
  <c r="M7" i="6"/>
  <c r="M8" i="6"/>
  <c r="M9" i="6"/>
  <c r="M10" i="6"/>
  <c r="M11" i="6"/>
  <c r="M16" i="6"/>
  <c r="M17" i="6"/>
  <c r="M18" i="6"/>
  <c r="M19" i="6"/>
  <c r="M20" i="6"/>
  <c r="M21" i="6"/>
  <c r="M22" i="6"/>
  <c r="M23" i="6"/>
  <c r="M28" i="6"/>
  <c r="L6" i="6"/>
  <c r="L7" i="6"/>
  <c r="L8" i="6"/>
  <c r="L9" i="6"/>
  <c r="L10" i="6"/>
  <c r="L11" i="6"/>
  <c r="L12" i="6"/>
  <c r="L13" i="6"/>
  <c r="L14" i="6"/>
  <c r="M14" i="6" s="1"/>
  <c r="L15" i="6"/>
  <c r="L16" i="6"/>
  <c r="L17" i="6"/>
  <c r="L18" i="6"/>
  <c r="L19" i="6"/>
  <c r="L20" i="6"/>
  <c r="L21" i="6"/>
  <c r="L22" i="6"/>
  <c r="L23" i="6"/>
  <c r="L24" i="6"/>
  <c r="L25" i="6"/>
  <c r="L26" i="6"/>
  <c r="M26" i="6" s="1"/>
  <c r="L27" i="6"/>
  <c r="L28" i="6"/>
  <c r="K6" i="6"/>
  <c r="K7" i="6"/>
  <c r="K8" i="6"/>
  <c r="K9" i="6"/>
  <c r="K10" i="6"/>
  <c r="K11" i="6"/>
  <c r="K12" i="6"/>
  <c r="M12" i="6" s="1"/>
  <c r="K13" i="6"/>
  <c r="M13" i="6" s="1"/>
  <c r="K14" i="6"/>
  <c r="K15" i="6"/>
  <c r="M15" i="6" s="1"/>
  <c r="K16" i="6"/>
  <c r="K17" i="6"/>
  <c r="K18" i="6"/>
  <c r="K19" i="6"/>
  <c r="K20" i="6"/>
  <c r="K21" i="6"/>
  <c r="K22" i="6"/>
  <c r="K23" i="6"/>
  <c r="K24" i="6"/>
  <c r="M24" i="6" s="1"/>
  <c r="K25" i="6"/>
  <c r="M25" i="6" s="1"/>
  <c r="K26" i="6"/>
  <c r="K27" i="6"/>
  <c r="M27" i="6" s="1"/>
  <c r="K28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5" i="6"/>
  <c r="M5" i="6"/>
  <c r="P39" i="5"/>
  <c r="P40" i="5"/>
  <c r="P41" i="5"/>
  <c r="P42" i="5"/>
  <c r="P43" i="5"/>
  <c r="O39" i="5"/>
  <c r="O40" i="5"/>
  <c r="O41" i="5"/>
  <c r="O42" i="5"/>
  <c r="O43" i="5"/>
  <c r="N39" i="5"/>
  <c r="N40" i="5"/>
  <c r="N41" i="5"/>
  <c r="N42" i="5"/>
  <c r="N43" i="5"/>
  <c r="M38" i="5"/>
  <c r="M39" i="5"/>
  <c r="M40" i="5"/>
  <c r="M41" i="5"/>
  <c r="M42" i="5"/>
  <c r="M43" i="5"/>
  <c r="L39" i="5"/>
  <c r="L40" i="5"/>
  <c r="L41" i="5"/>
  <c r="L42" i="5"/>
  <c r="L43" i="5"/>
  <c r="L38" i="5"/>
  <c r="N25" i="5"/>
  <c r="N26" i="5"/>
  <c r="N27" i="5"/>
  <c r="N28" i="5"/>
  <c r="N29" i="5"/>
  <c r="M24" i="5"/>
  <c r="M25" i="5"/>
  <c r="M26" i="5"/>
  <c r="M27" i="5"/>
  <c r="M28" i="5"/>
  <c r="M29" i="5"/>
  <c r="M30" i="5"/>
  <c r="M31" i="5"/>
  <c r="L24" i="5"/>
  <c r="N24" i="5" s="1"/>
  <c r="L25" i="5"/>
  <c r="L26" i="5"/>
  <c r="L27" i="5"/>
  <c r="L28" i="5"/>
  <c r="L29" i="5"/>
  <c r="L30" i="5"/>
  <c r="N30" i="5" s="1"/>
  <c r="L31" i="5"/>
  <c r="N31" i="5" s="1"/>
  <c r="N23" i="5"/>
  <c r="K23" i="5"/>
  <c r="M9" i="5"/>
  <c r="M12" i="5"/>
  <c r="L6" i="5"/>
  <c r="L7" i="5"/>
  <c r="L8" i="5"/>
  <c r="L9" i="5"/>
  <c r="L10" i="5"/>
  <c r="L11" i="5"/>
  <c r="L12" i="5"/>
  <c r="L13" i="5"/>
  <c r="M13" i="5" s="1"/>
  <c r="L14" i="5"/>
  <c r="M14" i="5" s="1"/>
  <c r="L15" i="5"/>
  <c r="L16" i="5"/>
  <c r="K6" i="5"/>
  <c r="K7" i="5"/>
  <c r="M7" i="5" s="1"/>
  <c r="K8" i="5"/>
  <c r="M8" i="5" s="1"/>
  <c r="K9" i="5"/>
  <c r="K10" i="5"/>
  <c r="K11" i="5"/>
  <c r="K12" i="5"/>
  <c r="K13" i="5"/>
  <c r="K14" i="5"/>
  <c r="K15" i="5"/>
  <c r="M15" i="5" s="1"/>
  <c r="K16" i="5"/>
  <c r="M5" i="5"/>
  <c r="J5" i="5"/>
  <c r="N45" i="4"/>
  <c r="N46" i="4"/>
  <c r="N47" i="4"/>
  <c r="N48" i="4"/>
  <c r="N49" i="4"/>
  <c r="N50" i="4"/>
  <c r="N51" i="4"/>
  <c r="N52" i="4"/>
  <c r="N53" i="4"/>
  <c r="N54" i="4"/>
  <c r="N55" i="4"/>
  <c r="M45" i="4"/>
  <c r="M46" i="4"/>
  <c r="M47" i="4"/>
  <c r="M48" i="4"/>
  <c r="M49" i="4"/>
  <c r="M50" i="4"/>
  <c r="M51" i="4"/>
  <c r="M52" i="4"/>
  <c r="M53" i="4"/>
  <c r="M54" i="4"/>
  <c r="M55" i="4"/>
  <c r="L44" i="4"/>
  <c r="S29" i="4"/>
  <c r="M30" i="4"/>
  <c r="M31" i="4"/>
  <c r="M32" i="4"/>
  <c r="M33" i="4"/>
  <c r="M34" i="4"/>
  <c r="M35" i="4"/>
  <c r="M36" i="4"/>
  <c r="M37" i="4"/>
  <c r="M29" i="4"/>
  <c r="K6" i="4"/>
  <c r="K7" i="4"/>
  <c r="K8" i="4"/>
  <c r="K9" i="4"/>
  <c r="K10" i="4"/>
  <c r="K14" i="4"/>
  <c r="K15" i="4"/>
  <c r="K16" i="4"/>
  <c r="K17" i="4"/>
  <c r="K18" i="4"/>
  <c r="K19" i="4"/>
  <c r="K20" i="4"/>
  <c r="K21" i="4"/>
  <c r="K22" i="4"/>
  <c r="K12" i="4"/>
  <c r="K13" i="4"/>
  <c r="K5" i="4"/>
  <c r="L5" i="4"/>
  <c r="L4" i="3"/>
  <c r="K4" i="3"/>
  <c r="Q4" i="3"/>
  <c r="P4" i="3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R30" i="4"/>
  <c r="R31" i="4"/>
  <c r="R32" i="4"/>
  <c r="R33" i="4"/>
  <c r="R34" i="4"/>
  <c r="R35" i="4"/>
  <c r="R36" i="4"/>
  <c r="R37" i="4"/>
  <c r="M6" i="4"/>
  <c r="P6" i="4"/>
  <c r="P7" i="4"/>
  <c r="P8" i="4"/>
  <c r="P9" i="4"/>
  <c r="P10" i="4"/>
  <c r="P14" i="4"/>
  <c r="P15" i="4"/>
  <c r="P16" i="4"/>
  <c r="P17" i="4"/>
  <c r="P18" i="4"/>
  <c r="P19" i="4"/>
  <c r="P20" i="4"/>
  <c r="P21" i="4"/>
  <c r="P22" i="4"/>
  <c r="P11" i="4"/>
  <c r="P12" i="4"/>
  <c r="P13" i="4"/>
  <c r="N6" i="4"/>
  <c r="N7" i="4"/>
  <c r="N8" i="4"/>
  <c r="N9" i="4"/>
  <c r="N10" i="4"/>
  <c r="N14" i="4"/>
  <c r="N15" i="4"/>
  <c r="N16" i="4"/>
  <c r="N17" i="4"/>
  <c r="N18" i="4"/>
  <c r="N19" i="4"/>
  <c r="N20" i="4"/>
  <c r="N21" i="4"/>
  <c r="N22" i="4"/>
  <c r="N11" i="4"/>
  <c r="N12" i="4"/>
  <c r="N13" i="4"/>
  <c r="M7" i="4"/>
  <c r="M8" i="4"/>
  <c r="M9" i="4"/>
  <c r="M10" i="4"/>
  <c r="M14" i="4"/>
  <c r="M15" i="4"/>
  <c r="M16" i="4"/>
  <c r="M17" i="4"/>
  <c r="M18" i="4"/>
  <c r="M19" i="4"/>
  <c r="M20" i="4"/>
  <c r="M21" i="4"/>
  <c r="M22" i="4"/>
  <c r="M11" i="4"/>
  <c r="M12" i="4"/>
  <c r="M13" i="4"/>
  <c r="N30" i="4"/>
  <c r="N31" i="4"/>
  <c r="N32" i="4"/>
  <c r="N33" i="4"/>
  <c r="N34" i="4"/>
  <c r="N35" i="4"/>
  <c r="N36" i="4"/>
  <c r="N37" i="4"/>
  <c r="N29" i="4"/>
  <c r="Q10" i="3"/>
  <c r="P46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N5" i="3"/>
  <c r="Q5" i="3" s="1"/>
  <c r="N6" i="3"/>
  <c r="N7" i="3"/>
  <c r="Q7" i="3" s="1"/>
  <c r="N8" i="3"/>
  <c r="Q8" i="3" s="1"/>
  <c r="N9" i="3"/>
  <c r="P9" i="3" s="1"/>
  <c r="N10" i="3"/>
  <c r="P10" i="3" s="1"/>
  <c r="N11" i="3"/>
  <c r="N12" i="3"/>
  <c r="N13" i="3"/>
  <c r="P13" i="3" s="1"/>
  <c r="N14" i="3"/>
  <c r="P14" i="3" s="1"/>
  <c r="N15" i="3"/>
  <c r="P15" i="3" s="1"/>
  <c r="N16" i="3"/>
  <c r="N17" i="3"/>
  <c r="Q17" i="3" s="1"/>
  <c r="N18" i="3"/>
  <c r="N19" i="3"/>
  <c r="Q19" i="3" s="1"/>
  <c r="N20" i="3"/>
  <c r="Q20" i="3" s="1"/>
  <c r="N21" i="3"/>
  <c r="P21" i="3" s="1"/>
  <c r="N22" i="3"/>
  <c r="Q22" i="3" s="1"/>
  <c r="N23" i="3"/>
  <c r="N24" i="3"/>
  <c r="N25" i="3"/>
  <c r="Q25" i="3" s="1"/>
  <c r="N26" i="3"/>
  <c r="Q26" i="3" s="1"/>
  <c r="N27" i="3"/>
  <c r="Q27" i="3" s="1"/>
  <c r="N28" i="3"/>
  <c r="N29" i="3"/>
  <c r="Q29" i="3" s="1"/>
  <c r="N30" i="3"/>
  <c r="N31" i="3"/>
  <c r="Q31" i="3" s="1"/>
  <c r="N32" i="3"/>
  <c r="Q32" i="3" s="1"/>
  <c r="N33" i="3"/>
  <c r="P33" i="3" s="1"/>
  <c r="N34" i="3"/>
  <c r="Q34" i="3" s="1"/>
  <c r="N35" i="3"/>
  <c r="N36" i="3"/>
  <c r="N37" i="3"/>
  <c r="P37" i="3" s="1"/>
  <c r="N38" i="3"/>
  <c r="Q38" i="3" s="1"/>
  <c r="N39" i="3"/>
  <c r="Q39" i="3" s="1"/>
  <c r="N40" i="3"/>
  <c r="N41" i="3"/>
  <c r="Q41" i="3" s="1"/>
  <c r="N42" i="3"/>
  <c r="N43" i="3"/>
  <c r="Q43" i="3" s="1"/>
  <c r="N44" i="3"/>
  <c r="Q44" i="3" s="1"/>
  <c r="N45" i="3"/>
  <c r="P45" i="3" s="1"/>
  <c r="N46" i="3"/>
  <c r="Q46" i="3" s="1"/>
  <c r="N47" i="3"/>
  <c r="N48" i="3"/>
  <c r="N49" i="3"/>
  <c r="P49" i="3" s="1"/>
  <c r="N50" i="3"/>
  <c r="Q50" i="3" s="1"/>
  <c r="N51" i="3"/>
  <c r="P51" i="3" s="1"/>
  <c r="M5" i="3"/>
  <c r="M6" i="3"/>
  <c r="P6" i="3" s="1"/>
  <c r="M7" i="3"/>
  <c r="M8" i="3"/>
  <c r="M9" i="3"/>
  <c r="M10" i="3"/>
  <c r="M11" i="3"/>
  <c r="P11" i="3" s="1"/>
  <c r="M12" i="3"/>
  <c r="Q12" i="3" s="1"/>
  <c r="M13" i="3"/>
  <c r="M14" i="3"/>
  <c r="M15" i="3"/>
  <c r="M16" i="3"/>
  <c r="Q16" i="3" s="1"/>
  <c r="M17" i="3"/>
  <c r="M18" i="3"/>
  <c r="P18" i="3" s="1"/>
  <c r="M19" i="3"/>
  <c r="M20" i="3"/>
  <c r="M21" i="3"/>
  <c r="M22" i="3"/>
  <c r="P22" i="3" s="1"/>
  <c r="M23" i="3"/>
  <c r="P23" i="3" s="1"/>
  <c r="M24" i="3"/>
  <c r="P24" i="3" s="1"/>
  <c r="M25" i="3"/>
  <c r="P25" i="3" s="1"/>
  <c r="M26" i="3"/>
  <c r="P26" i="3" s="1"/>
  <c r="M27" i="3"/>
  <c r="P27" i="3" s="1"/>
  <c r="M28" i="3"/>
  <c r="Q28" i="3" s="1"/>
  <c r="M29" i="3"/>
  <c r="M30" i="3"/>
  <c r="P30" i="3" s="1"/>
  <c r="M31" i="3"/>
  <c r="M32" i="3"/>
  <c r="M33" i="3"/>
  <c r="M34" i="3"/>
  <c r="M35" i="3"/>
  <c r="P35" i="3" s="1"/>
  <c r="M36" i="3"/>
  <c r="P36" i="3" s="1"/>
  <c r="M37" i="3"/>
  <c r="M38" i="3"/>
  <c r="P38" i="3" s="1"/>
  <c r="M39" i="3"/>
  <c r="P39" i="3" s="1"/>
  <c r="M40" i="3"/>
  <c r="Q40" i="3" s="1"/>
  <c r="M41" i="3"/>
  <c r="M42" i="3"/>
  <c r="P42" i="3" s="1"/>
  <c r="M43" i="3"/>
  <c r="M44" i="3"/>
  <c r="M45" i="3"/>
  <c r="M46" i="3"/>
  <c r="M47" i="3"/>
  <c r="P47" i="3" s="1"/>
  <c r="M48" i="3"/>
  <c r="Q48" i="3" s="1"/>
  <c r="M49" i="3"/>
  <c r="M50" i="3"/>
  <c r="P50" i="3" s="1"/>
  <c r="M51" i="3"/>
  <c r="J4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K24" i="5"/>
  <c r="K25" i="5"/>
  <c r="K26" i="5"/>
  <c r="K27" i="5"/>
  <c r="K28" i="5"/>
  <c r="K29" i="5"/>
  <c r="K30" i="5"/>
  <c r="K31" i="5"/>
  <c r="J6" i="5"/>
  <c r="J7" i="5"/>
  <c r="J8" i="5"/>
  <c r="J9" i="5"/>
  <c r="J10" i="5"/>
  <c r="J11" i="5"/>
  <c r="J12" i="5"/>
  <c r="J13" i="5"/>
  <c r="J14" i="5"/>
  <c r="J15" i="5"/>
  <c r="J16" i="5"/>
  <c r="L45" i="4"/>
  <c r="L46" i="4"/>
  <c r="L47" i="4"/>
  <c r="L48" i="4"/>
  <c r="L49" i="4"/>
  <c r="L50" i="4"/>
  <c r="L51" i="4"/>
  <c r="L52" i="4"/>
  <c r="L53" i="4"/>
  <c r="L54" i="4"/>
  <c r="L55" i="4"/>
  <c r="O30" i="4"/>
  <c r="O31" i="4"/>
  <c r="O32" i="4"/>
  <c r="O33" i="4"/>
  <c r="O34" i="4"/>
  <c r="O35" i="4"/>
  <c r="O36" i="4"/>
  <c r="S36" i="4" s="1"/>
  <c r="O37" i="4"/>
  <c r="L6" i="4"/>
  <c r="L7" i="4"/>
  <c r="L8" i="4"/>
  <c r="L9" i="4"/>
  <c r="L10" i="4"/>
  <c r="L14" i="4"/>
  <c r="L15" i="4"/>
  <c r="L16" i="4"/>
  <c r="L17" i="4"/>
  <c r="L18" i="4"/>
  <c r="L19" i="4"/>
  <c r="L20" i="4"/>
  <c r="L21" i="4"/>
  <c r="L22" i="4"/>
  <c r="L11" i="4"/>
  <c r="L12" i="4"/>
  <c r="L13" i="4"/>
  <c r="P30" i="4"/>
  <c r="P31" i="4"/>
  <c r="P32" i="4"/>
  <c r="P33" i="4"/>
  <c r="P34" i="4"/>
  <c r="P35" i="4"/>
  <c r="P36" i="4"/>
  <c r="P37" i="4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N167" i="12" l="1"/>
  <c r="E165" i="12"/>
  <c r="H155" i="12"/>
  <c r="H174" i="12"/>
  <c r="H177" i="12"/>
  <c r="H167" i="12"/>
  <c r="H176" i="12"/>
  <c r="F175" i="12"/>
  <c r="G175" i="12"/>
  <c r="H168" i="12"/>
  <c r="H164" i="12"/>
  <c r="F165" i="12"/>
  <c r="H165" i="12" s="1"/>
  <c r="H166" i="12"/>
  <c r="K167" i="12"/>
  <c r="K164" i="12"/>
  <c r="K166" i="12"/>
  <c r="H158" i="12"/>
  <c r="E157" i="12"/>
  <c r="G157" i="12"/>
  <c r="L157" i="12"/>
  <c r="M157" i="12"/>
  <c r="H159" i="12"/>
  <c r="N158" i="12"/>
  <c r="F157" i="12"/>
  <c r="K155" i="12"/>
  <c r="L156" i="12"/>
  <c r="M156" i="12"/>
  <c r="F156" i="12"/>
  <c r="H156" i="12" s="1"/>
  <c r="H154" i="12"/>
  <c r="K156" i="12"/>
  <c r="K157" i="12"/>
  <c r="K158" i="12"/>
  <c r="N155" i="12"/>
  <c r="O45" i="4"/>
  <c r="Q14" i="4"/>
  <c r="O55" i="4"/>
  <c r="O54" i="4"/>
  <c r="Q20" i="4"/>
  <c r="O49" i="4"/>
  <c r="O52" i="4"/>
  <c r="O14" i="4"/>
  <c r="O51" i="4"/>
  <c r="O50" i="4"/>
  <c r="O18" i="4"/>
  <c r="O17" i="4"/>
  <c r="O46" i="4"/>
  <c r="O16" i="4"/>
  <c r="Q13" i="4"/>
  <c r="Q10" i="4"/>
  <c r="Q19" i="4"/>
  <c r="O48" i="4"/>
  <c r="O21" i="4"/>
  <c r="O47" i="4"/>
  <c r="Q15" i="4"/>
  <c r="O20" i="4"/>
  <c r="O12" i="4"/>
  <c r="O9" i="4"/>
  <c r="S30" i="4"/>
  <c r="O8" i="4"/>
  <c r="O15" i="4"/>
  <c r="Q6" i="4"/>
  <c r="O53" i="4"/>
  <c r="Q16" i="4"/>
  <c r="S37" i="4"/>
  <c r="O19" i="4"/>
  <c r="Q5" i="4"/>
  <c r="O6" i="4"/>
  <c r="Q18" i="4"/>
  <c r="Q17" i="4"/>
  <c r="O22" i="4"/>
  <c r="O7" i="4"/>
  <c r="Q21" i="4"/>
  <c r="O13" i="4"/>
  <c r="O10" i="4"/>
  <c r="S35" i="4"/>
  <c r="S34" i="4"/>
  <c r="W49" i="8"/>
  <c r="W37" i="8"/>
  <c r="W25" i="8"/>
  <c r="W13" i="8"/>
  <c r="W40" i="8"/>
  <c r="W28" i="8"/>
  <c r="W16" i="8"/>
  <c r="W4" i="8"/>
  <c r="W50" i="8"/>
  <c r="W38" i="8"/>
  <c r="W26" i="8"/>
  <c r="W14" i="8"/>
  <c r="W45" i="8"/>
  <c r="W9" i="8"/>
  <c r="W44" i="8"/>
  <c r="W32" i="8"/>
  <c r="W20" i="8"/>
  <c r="W8" i="8"/>
  <c r="W39" i="8"/>
  <c r="W27" i="8"/>
  <c r="W15" i="8"/>
  <c r="W43" i="8"/>
  <c r="W31" i="8"/>
  <c r="W19" i="8"/>
  <c r="W7" i="8"/>
  <c r="W42" i="8"/>
  <c r="W30" i="8"/>
  <c r="W18" i="8"/>
  <c r="W6" i="8"/>
  <c r="M16" i="5"/>
  <c r="M11" i="5"/>
  <c r="M10" i="5"/>
  <c r="M6" i="5"/>
  <c r="S33" i="4"/>
  <c r="S32" i="4"/>
  <c r="S31" i="4"/>
  <c r="Q9" i="4"/>
  <c r="Q8" i="4"/>
  <c r="O5" i="4"/>
  <c r="Q22" i="4"/>
  <c r="O11" i="4"/>
  <c r="Q12" i="4"/>
  <c r="Q7" i="4"/>
  <c r="Q51" i="3"/>
  <c r="P40" i="3"/>
  <c r="Q14" i="3"/>
  <c r="Q49" i="3"/>
  <c r="Q37" i="3"/>
  <c r="Q13" i="3"/>
  <c r="P48" i="3"/>
  <c r="P12" i="3"/>
  <c r="Q36" i="3"/>
  <c r="Q24" i="3"/>
  <c r="Q15" i="3"/>
  <c r="Q47" i="3"/>
  <c r="Q35" i="3"/>
  <c r="Q23" i="3"/>
  <c r="Q11" i="3"/>
  <c r="P34" i="3"/>
  <c r="P28" i="3"/>
  <c r="Q45" i="3"/>
  <c r="Q33" i="3"/>
  <c r="Q21" i="3"/>
  <c r="Q9" i="3"/>
  <c r="P44" i="3"/>
  <c r="P32" i="3"/>
  <c r="P20" i="3"/>
  <c r="P8" i="3"/>
  <c r="P43" i="3"/>
  <c r="P31" i="3"/>
  <c r="P19" i="3"/>
  <c r="P7" i="3"/>
  <c r="Q42" i="3"/>
  <c r="Q30" i="3"/>
  <c r="Q18" i="3"/>
  <c r="Q6" i="3"/>
  <c r="P41" i="3"/>
  <c r="P29" i="3"/>
  <c r="P17" i="3"/>
  <c r="P5" i="3"/>
  <c r="P16" i="3"/>
  <c r="Q35" i="4"/>
  <c r="Q34" i="4"/>
  <c r="Q33" i="4"/>
  <c r="Q32" i="4"/>
  <c r="Q31" i="4"/>
  <c r="Q30" i="4"/>
  <c r="Q37" i="4"/>
  <c r="Q36" i="4"/>
  <c r="N157" i="12" l="1"/>
  <c r="H157" i="12"/>
  <c r="H175" i="12"/>
  <c r="N156" i="12"/>
</calcChain>
</file>

<file path=xl/sharedStrings.xml><?xml version="1.0" encoding="utf-8"?>
<sst xmlns="http://schemas.openxmlformats.org/spreadsheetml/2006/main" count="1711" uniqueCount="289">
  <si>
    <t>읍면동명</t>
  </si>
  <si>
    <t>구분</t>
  </si>
  <si>
    <t>선거인수</t>
  </si>
  <si>
    <t>투표수</t>
  </si>
  <si>
    <t>후보자별 득표수</t>
  </si>
  <si>
    <t>무효</t>
  </si>
  <si>
    <t>기권자수</t>
  </si>
  <si>
    <t>이병도</t>
  </si>
  <si>
    <t>이병학</t>
  </si>
  <si>
    <t>김영춘</t>
  </si>
  <si>
    <t>이명수</t>
  </si>
  <si>
    <t>계</t>
  </si>
  <si>
    <t>합계</t>
  </si>
  <si>
    <t>거소투표</t>
  </si>
  <si>
    <t>관외사전투표</t>
  </si>
  <si>
    <t>관내사전투표</t>
  </si>
  <si>
    <t>선거일투표</t>
  </si>
  <si>
    <t>잘못 투입·구분된 투표지</t>
  </si>
  <si>
    <t>더불어민주당</t>
  </si>
  <si>
    <t>박수현</t>
  </si>
  <si>
    <t>국민의힘</t>
  </si>
  <si>
    <t>김태흠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</si>
  <si>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</si>
  <si>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</si>
  <si>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</si>
  <si>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</si>
  <si>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</si>
  <si>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</si>
  <si>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</si>
  <si>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</si>
  <si>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</si>
  <si>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</si>
  <si>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</si>
  <si>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</si>
  <si>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</si>
  <si>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</si>
  <si>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</si>
  <si>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맹정호</t>
  </si>
  <si>
    <t>이완섭</t>
  </si>
  <si>
    <t>개혁신당</t>
  </si>
  <si>
    <t>유관곤</t>
  </si>
  <si>
    <t>유해중</t>
  </si>
  <si>
    <t>김옥수</t>
  </si>
  <si>
    <t>무소속</t>
  </si>
  <si>
    <t>김일환</t>
  </si>
  <si>
    <t>장승재</t>
  </si>
  <si>
    <t>이용국</t>
  </si>
  <si>
    <t>김영수</t>
  </si>
  <si>
    <t>이연희</t>
  </si>
  <si>
    <t>송치윤</t>
  </si>
  <si>
    <t>안효돈</t>
  </si>
  <si>
    <t>장갑순</t>
  </si>
  <si>
    <t>한석화</t>
  </si>
  <si>
    <t>강문수</t>
  </si>
  <si>
    <t>기양순</t>
  </si>
  <si>
    <t>최동묵</t>
  </si>
  <si>
    <t>가충순</t>
  </si>
  <si>
    <t>안동석</t>
  </si>
  <si>
    <t>강석환</t>
  </si>
  <si>
    <t>김용경</t>
  </si>
  <si>
    <t>이정수</t>
  </si>
  <si>
    <t>김혜림</t>
  </si>
  <si>
    <t>조병완</t>
  </si>
  <si>
    <t>안원기</t>
  </si>
  <si>
    <t>진보당</t>
  </si>
  <si>
    <t>김정이</t>
  </si>
  <si>
    <t>이국찬</t>
  </si>
  <si>
    <t>김기욱</t>
  </si>
  <si>
    <t>정구현</t>
  </si>
  <si>
    <t>서태모</t>
  </si>
  <si>
    <t>이수의</t>
  </si>
  <si>
    <t>이경화</t>
  </si>
  <si>
    <t>최형식</t>
  </si>
  <si>
    <t>조동식</t>
  </si>
  <si>
    <t>시의원 가선거구</t>
    <phoneticPr fontId="3" type="noConversion"/>
  </si>
  <si>
    <t>시의원 나선거구</t>
    <phoneticPr fontId="3" type="noConversion"/>
  </si>
  <si>
    <t>도의원 1선거구</t>
    <phoneticPr fontId="3" type="noConversion"/>
  </si>
  <si>
    <t>시의원 다선거구</t>
    <phoneticPr fontId="3" type="noConversion"/>
  </si>
  <si>
    <t>시의원 라선거구</t>
    <phoneticPr fontId="3" type="noConversion"/>
  </si>
  <si>
    <t>도의원 3선거구</t>
    <phoneticPr fontId="3" type="noConversion"/>
  </si>
  <si>
    <t>시의원 마선거구</t>
    <phoneticPr fontId="3" type="noConversion"/>
  </si>
  <si>
    <t>시의원 바선거구</t>
    <phoneticPr fontId="3" type="noConversion"/>
  </si>
  <si>
    <t>도의원 2선거구</t>
    <phoneticPr fontId="3" type="noConversion"/>
  </si>
  <si>
    <t>정당별 득표수</t>
  </si>
  <si>
    <t>조국혁신당</t>
  </si>
  <si>
    <t>기본소득당</t>
  </si>
  <si>
    <t>정의당</t>
  </si>
  <si>
    <t>득표차</t>
    <phoneticPr fontId="3" type="noConversion"/>
  </si>
  <si>
    <t>득표율</t>
    <phoneticPr fontId="3" type="noConversion"/>
  </si>
  <si>
    <t>도지사</t>
    <phoneticPr fontId="3" type="noConversion"/>
  </si>
  <si>
    <t>맹정호</t>
    <phoneticPr fontId="3" type="noConversion"/>
  </si>
  <si>
    <t>이완섭</t>
    <phoneticPr fontId="3" type="noConversion"/>
  </si>
  <si>
    <t>시장</t>
    <phoneticPr fontId="3" type="noConversion"/>
  </si>
  <si>
    <t>국힘2+무소속1</t>
    <phoneticPr fontId="3" type="noConversion"/>
  </si>
  <si>
    <t>국힘2</t>
    <phoneticPr fontId="3" type="noConversion"/>
  </si>
  <si>
    <t>국힘1+무소속1</t>
    <phoneticPr fontId="3" type="noConversion"/>
  </si>
  <si>
    <t>득표차(맹정호-이완섭)</t>
    <phoneticPr fontId="3" type="noConversion"/>
  </si>
  <si>
    <t>국힘1</t>
    <phoneticPr fontId="3" type="noConversion"/>
  </si>
  <si>
    <t>국힘2+개혁1+무소속1</t>
    <phoneticPr fontId="3" type="noConversion"/>
  </si>
  <si>
    <t>정당별 득표율</t>
    <phoneticPr fontId="3" type="noConversion"/>
  </si>
  <si>
    <t>국힘</t>
    <phoneticPr fontId="3" type="noConversion"/>
  </si>
  <si>
    <t>득표율차</t>
    <phoneticPr fontId="3" type="noConversion"/>
  </si>
  <si>
    <t>도의원</t>
    <phoneticPr fontId="3" type="noConversion"/>
  </si>
  <si>
    <t>득표율차(맹정호-이완섭)</t>
    <phoneticPr fontId="3" type="noConversion"/>
  </si>
  <si>
    <t>득표율차(맹정호-이완섭,유관곤)</t>
    <phoneticPr fontId="3" type="noConversion"/>
  </si>
  <si>
    <t>득표차(맹정호-이완섭,유관곤)</t>
    <phoneticPr fontId="3" type="noConversion"/>
  </si>
  <si>
    <t>득표차(민주-국힘)</t>
    <phoneticPr fontId="3" type="noConversion"/>
  </si>
  <si>
    <t>득표차(민주1-국힘1)</t>
    <phoneticPr fontId="3" type="noConversion"/>
  </si>
  <si>
    <t>득표율(민주-모든타당)</t>
    <phoneticPr fontId="3" type="noConversion"/>
  </si>
  <si>
    <t>득표율(민주-국힘)</t>
    <phoneticPr fontId="3" type="noConversion"/>
  </si>
  <si>
    <t>득표차(민주1-모든타당)</t>
    <phoneticPr fontId="3" type="noConversion"/>
  </si>
  <si>
    <t>득표차(민주2-국힘2)</t>
    <phoneticPr fontId="3" type="noConversion"/>
  </si>
  <si>
    <t>득표차(민주2-모든타당)</t>
    <phoneticPr fontId="3" type="noConversion"/>
  </si>
  <si>
    <t>민주2</t>
    <phoneticPr fontId="3" type="noConversion"/>
  </si>
  <si>
    <t>민주1</t>
    <phoneticPr fontId="3" type="noConversion"/>
  </si>
  <si>
    <t>득표차(민주2-국힘1)</t>
    <phoneticPr fontId="3" type="noConversion"/>
  </si>
  <si>
    <t>득표율(민주,진보-국힘)</t>
    <phoneticPr fontId="3" type="noConversion"/>
  </si>
  <si>
    <t>민주2+진보1</t>
    <phoneticPr fontId="3" type="noConversion"/>
  </si>
  <si>
    <t>득표차(민주2,진보1-국힘1)</t>
    <phoneticPr fontId="3" type="noConversion"/>
  </si>
  <si>
    <t>득표차(민주1-국힘2)</t>
    <phoneticPr fontId="3" type="noConversion"/>
  </si>
  <si>
    <t>득표차(민주1-국힘2,개혁1,무소속1)</t>
    <phoneticPr fontId="3" type="noConversion"/>
  </si>
  <si>
    <t>득표율차(진보-보수)</t>
    <phoneticPr fontId="3" type="noConversion"/>
  </si>
  <si>
    <t>득표차(진보-보수)</t>
    <phoneticPr fontId="3" type="noConversion"/>
  </si>
  <si>
    <t>득표율차(민주-국힘)</t>
    <phoneticPr fontId="3" type="noConversion"/>
  </si>
  <si>
    <t>민주</t>
    <phoneticPr fontId="3" type="noConversion"/>
  </si>
  <si>
    <t>득표차(진보2-보수2)</t>
    <phoneticPr fontId="3" type="noConversion"/>
  </si>
  <si>
    <t>진보2</t>
    <phoneticPr fontId="3" type="noConversion"/>
  </si>
  <si>
    <t>보수2</t>
    <phoneticPr fontId="3" type="noConversion"/>
  </si>
  <si>
    <t>득표율차(민주1-국힘1)</t>
    <phoneticPr fontId="3" type="noConversion"/>
  </si>
  <si>
    <t>득표율차(민주1-모든타당)</t>
    <phoneticPr fontId="3" type="noConversion"/>
  </si>
  <si>
    <t>계</t>
    <phoneticPr fontId="3" type="noConversion"/>
  </si>
  <si>
    <t>투표수(선거인수-기권자수)</t>
    <phoneticPr fontId="3" type="noConversion"/>
  </si>
  <si>
    <t>계(투표수-무효투표수)</t>
    <phoneticPr fontId="3" type="noConversion"/>
  </si>
  <si>
    <t>공통</t>
    <phoneticPr fontId="3" type="noConversion"/>
  </si>
  <si>
    <t>득표율차(민주2-모든타당)</t>
    <phoneticPr fontId="3" type="noConversion"/>
  </si>
  <si>
    <t>득표율차(민주2-국힘2)</t>
    <phoneticPr fontId="3" type="noConversion"/>
  </si>
  <si>
    <t>시의원</t>
    <phoneticPr fontId="3" type="noConversion"/>
  </si>
  <si>
    <t>더불어민주당</t>
    <phoneticPr fontId="3" type="noConversion"/>
  </si>
  <si>
    <t>시의원 가,나</t>
  </si>
  <si>
    <t>도의원 1</t>
    <phoneticPr fontId="3" type="noConversion"/>
  </si>
  <si>
    <t>득표율차(민주2,진보1-국힘1)</t>
    <phoneticPr fontId="3" type="noConversion"/>
  </si>
  <si>
    <t>득표율차(민주2-국힘1)</t>
    <phoneticPr fontId="3" type="noConversion"/>
  </si>
  <si>
    <t>도의원 2</t>
    <phoneticPr fontId="3" type="noConversion"/>
  </si>
  <si>
    <t>시의원 다,라</t>
    <phoneticPr fontId="3" type="noConversion"/>
  </si>
  <si>
    <t>득표율차(민주1-국힘2)</t>
    <phoneticPr fontId="3" type="noConversion"/>
  </si>
  <si>
    <t>득표율차(민주1-국힘2,개혁1,무소속1)</t>
    <phoneticPr fontId="3" type="noConversion"/>
  </si>
  <si>
    <t>도의원 3</t>
    <phoneticPr fontId="3" type="noConversion"/>
  </si>
  <si>
    <t>시의원 마,바</t>
    <phoneticPr fontId="3" type="noConversion"/>
  </si>
  <si>
    <t>광역비례</t>
    <phoneticPr fontId="3" type="noConversion"/>
  </si>
  <si>
    <t>기초비례</t>
    <phoneticPr fontId="3" type="noConversion"/>
  </si>
  <si>
    <t>득표차(박수현-김태흠)</t>
    <phoneticPr fontId="3" type="noConversion"/>
  </si>
  <si>
    <t>득표율차(박수현-김태흠)</t>
    <phoneticPr fontId="3" type="noConversion"/>
  </si>
  <si>
    <t>구분</t>
    <phoneticPr fontId="3" type="noConversion"/>
  </si>
  <si>
    <t>민주+진보</t>
    <phoneticPr fontId="3" type="noConversion"/>
  </si>
  <si>
    <t>전체</t>
    <phoneticPr fontId="3" type="noConversion"/>
  </si>
  <si>
    <t>국힘+보수+무소속</t>
    <phoneticPr fontId="3" type="noConversion"/>
  </si>
  <si>
    <t>득표수(진보-보수)</t>
    <phoneticPr fontId="3" type="noConversion"/>
  </si>
  <si>
    <t>득표율(진보-보수)</t>
    <phoneticPr fontId="3" type="noConversion"/>
  </si>
  <si>
    <t>득표수(민주-국힘)</t>
    <phoneticPr fontId="3" type="noConversion"/>
  </si>
  <si>
    <t>국힘(자유)</t>
    <phoneticPr fontId="3" type="noConversion"/>
  </si>
  <si>
    <t>국힘(자유)+보수+무소속</t>
    <phoneticPr fontId="3" type="noConversion"/>
  </si>
  <si>
    <t>최종분석(지난 대선, 총선)</t>
    <phoneticPr fontId="3" type="noConversion"/>
  </si>
  <si>
    <t>최종분석(제 9회 지방선거)2026년</t>
    <phoneticPr fontId="3" type="noConversion"/>
  </si>
  <si>
    <t>최종분석(제 8회 지방선거)2022년</t>
    <phoneticPr fontId="3" type="noConversion"/>
  </si>
  <si>
    <t>최종분석(제 7회 지방선거)2018년</t>
    <phoneticPr fontId="3" type="noConversion"/>
  </si>
  <si>
    <t>21대 대선(2025)</t>
    <phoneticPr fontId="3" type="noConversion"/>
  </si>
  <si>
    <t>22대 총선(2024)</t>
    <phoneticPr fontId="3" type="noConversion"/>
  </si>
  <si>
    <t>20대 대선(2022)</t>
    <phoneticPr fontId="3" type="noConversion"/>
  </si>
  <si>
    <t>21대 총선(2020)</t>
    <phoneticPr fontId="3" type="noConversion"/>
  </si>
  <si>
    <t>19대 대선(2017)</t>
    <phoneticPr fontId="3" type="noConversion"/>
  </si>
  <si>
    <t>20대 총선(2016)</t>
    <phoneticPr fontId="3" type="noConversion"/>
  </si>
  <si>
    <t>시점</t>
  </si>
  <si>
    <t>0 - 4세</t>
  </si>
  <si>
    <t>5 - 9세</t>
  </si>
  <si>
    <t>10 - 14세</t>
  </si>
  <si>
    <t>15 - 19세</t>
  </si>
  <si>
    <t>20 - 24세</t>
  </si>
  <si>
    <t>25 - 29세</t>
  </si>
  <si>
    <t>30 - 34세</t>
  </si>
  <si>
    <t>35 - 39세</t>
  </si>
  <si>
    <t>40 - 44세</t>
  </si>
  <si>
    <t>45 - 49세</t>
  </si>
  <si>
    <t>50 - 54세</t>
  </si>
  <si>
    <t>55 - 59세</t>
  </si>
  <si>
    <t>60 - 64세</t>
  </si>
  <si>
    <t>65 - 69세</t>
  </si>
  <si>
    <t>70 - 74세</t>
  </si>
  <si>
    <t>75 - 79세</t>
  </si>
  <si>
    <t>80 - 84세</t>
  </si>
  <si>
    <t>85 - 89세</t>
  </si>
  <si>
    <t>90 - 94세</t>
  </si>
  <si>
    <t>95 - 99세</t>
  </si>
  <si>
    <t>100+</t>
  </si>
  <si>
    <t>2016.03</t>
  </si>
  <si>
    <t>2017.03</t>
  </si>
  <si>
    <t>2018.05</t>
  </si>
  <si>
    <t>2020.03</t>
  </si>
  <si>
    <t>2022.03</t>
  </si>
  <si>
    <t>2022.05</t>
  </si>
  <si>
    <t>2024.03</t>
  </si>
  <si>
    <t>2024.05</t>
  </si>
  <si>
    <t>2025.03</t>
  </si>
  <si>
    <t>2026.05</t>
  </si>
  <si>
    <t>17년-16년</t>
    <phoneticPr fontId="3" type="noConversion"/>
  </si>
  <si>
    <t>18년-17년</t>
    <phoneticPr fontId="3" type="noConversion"/>
  </si>
  <si>
    <t>20년-18년</t>
    <phoneticPr fontId="3" type="noConversion"/>
  </si>
  <si>
    <t>22년-20년</t>
    <phoneticPr fontId="3" type="noConversion"/>
  </si>
  <si>
    <t>22년-22년</t>
    <phoneticPr fontId="3" type="noConversion"/>
  </si>
  <si>
    <t>24년-22년</t>
    <phoneticPr fontId="3" type="noConversion"/>
  </si>
  <si>
    <t>25년-24년</t>
    <phoneticPr fontId="3" type="noConversion"/>
  </si>
  <si>
    <t>26년-25년</t>
    <phoneticPr fontId="3" type="noConversion"/>
  </si>
  <si>
    <t>26년-16년</t>
    <phoneticPr fontId="3" type="noConversion"/>
  </si>
  <si>
    <t>26년-18년</t>
    <phoneticPr fontId="3" type="noConversion"/>
  </si>
  <si>
    <t>　　　　　　대산읍</t>
  </si>
  <si>
    <t>　　　　　　인지면</t>
  </si>
  <si>
    <t>　　　　　　부석면</t>
  </si>
  <si>
    <t>　　　　　　팔봉면</t>
  </si>
  <si>
    <t>　　　　　　지곡면</t>
  </si>
  <si>
    <t>　　　　　　성연면</t>
  </si>
  <si>
    <t>　　　　　　음암면</t>
  </si>
  <si>
    <t>　　　　　　운산면</t>
  </si>
  <si>
    <t>　　　　　　해미면</t>
  </si>
  <si>
    <t>　　　　　　고북면</t>
  </si>
  <si>
    <t>　　　　　　부춘동</t>
  </si>
  <si>
    <t>　　　　　　동문1동</t>
  </si>
  <si>
    <t>　　　　　　동문2동</t>
  </si>
  <si>
    <t>　　　　　　수석동</t>
  </si>
  <si>
    <t>　　　　　　석남동</t>
  </si>
  <si>
    <t>22년-20년(차)</t>
    <phoneticPr fontId="3" type="noConversion"/>
  </si>
  <si>
    <t>17년-16년(차)</t>
    <phoneticPr fontId="3" type="noConversion"/>
  </si>
  <si>
    <t>18년-17년(차)</t>
    <phoneticPr fontId="3" type="noConversion"/>
  </si>
  <si>
    <t>20년-18년(차)</t>
    <phoneticPr fontId="3" type="noConversion"/>
  </si>
  <si>
    <t>22년-22년(차)</t>
    <phoneticPr fontId="3" type="noConversion"/>
  </si>
  <si>
    <t>24년-22년(차)</t>
    <phoneticPr fontId="3" type="noConversion"/>
  </si>
  <si>
    <t>25년-24년(차)</t>
    <phoneticPr fontId="3" type="noConversion"/>
  </si>
  <si>
    <t>26년-25년(차)</t>
    <phoneticPr fontId="3" type="noConversion"/>
  </si>
  <si>
    <t>26년-16년(차)</t>
    <phoneticPr fontId="3" type="noConversion"/>
  </si>
  <si>
    <t>26년-18년(차)</t>
    <phoneticPr fontId="3" type="noConversion"/>
  </si>
  <si>
    <t>(차)</t>
  </si>
  <si>
    <t>행정구역(동읍면)별</t>
    <phoneticPr fontId="3" type="noConversion"/>
  </si>
  <si>
    <t>서산시</t>
    <phoneticPr fontId="3" type="noConversion"/>
  </si>
  <si>
    <t>선거인수</t>
    <phoneticPr fontId="3" type="noConversion"/>
  </si>
  <si>
    <t>무효 투표수</t>
  </si>
  <si>
    <t>선거구분</t>
    <phoneticPr fontId="3" type="noConversion"/>
  </si>
  <si>
    <t>년도</t>
    <phoneticPr fontId="3" type="noConversion"/>
  </si>
  <si>
    <t>20대 총선</t>
    <phoneticPr fontId="3" type="noConversion"/>
  </si>
  <si>
    <t>19대 대선</t>
    <phoneticPr fontId="3" type="noConversion"/>
  </si>
  <si>
    <t>21대 총선</t>
    <phoneticPr fontId="3" type="noConversion"/>
  </si>
  <si>
    <t>20대 대선</t>
    <phoneticPr fontId="3" type="noConversion"/>
  </si>
  <si>
    <t>22대 총선</t>
    <phoneticPr fontId="3" type="noConversion"/>
  </si>
  <si>
    <t>17-16(차)</t>
    <phoneticPr fontId="3" type="noConversion"/>
  </si>
  <si>
    <t>18-17(차)</t>
    <phoneticPr fontId="3" type="noConversion"/>
  </si>
  <si>
    <t>20-18(차)</t>
    <phoneticPr fontId="3" type="noConversion"/>
  </si>
  <si>
    <t>22-20(차)</t>
    <phoneticPr fontId="3" type="noConversion"/>
  </si>
  <si>
    <t>22-22(차)</t>
    <phoneticPr fontId="3" type="noConversion"/>
  </si>
  <si>
    <t>24-22(차)</t>
    <phoneticPr fontId="3" type="noConversion"/>
  </si>
  <si>
    <t>25-24(차)</t>
    <phoneticPr fontId="3" type="noConversion"/>
  </si>
  <si>
    <t>26-25(차)</t>
    <phoneticPr fontId="3" type="noConversion"/>
  </si>
  <si>
    <t>26-16(차)</t>
    <phoneticPr fontId="3" type="noConversion"/>
  </si>
  <si>
    <t>26-18(차)</t>
    <phoneticPr fontId="3" type="noConversion"/>
  </si>
  <si>
    <t>21대 대선</t>
    <phoneticPr fontId="3" type="noConversion"/>
  </si>
  <si>
    <t>9회 지방단체장</t>
    <phoneticPr fontId="3" type="noConversion"/>
  </si>
  <si>
    <t>8회 지방단체장</t>
    <phoneticPr fontId="3" type="noConversion"/>
  </si>
  <si>
    <t>7회 지방단체장</t>
    <phoneticPr fontId="3" type="noConversion"/>
  </si>
  <si>
    <t>대산읍</t>
    <phoneticPr fontId="3" type="noConversion"/>
  </si>
  <si>
    <t>인지면</t>
    <phoneticPr fontId="3" type="noConversion"/>
  </si>
  <si>
    <t>0 - 9세</t>
    <phoneticPr fontId="3" type="noConversion"/>
  </si>
  <si>
    <t>10 - 19세</t>
    <phoneticPr fontId="3" type="noConversion"/>
  </si>
  <si>
    <t>20 - 29세</t>
    <phoneticPr fontId="3" type="noConversion"/>
  </si>
  <si>
    <t>30 - 39세</t>
    <phoneticPr fontId="3" type="noConversion"/>
  </si>
  <si>
    <t>40 - 49세</t>
    <phoneticPr fontId="3" type="noConversion"/>
  </si>
  <si>
    <t>50 - 59세</t>
    <phoneticPr fontId="3" type="noConversion"/>
  </si>
  <si>
    <t>60 - 69세</t>
    <phoneticPr fontId="3" type="noConversion"/>
  </si>
  <si>
    <t>70 - 79세</t>
    <phoneticPr fontId="3" type="noConversion"/>
  </si>
  <si>
    <t>80 - 89세</t>
    <phoneticPr fontId="3" type="noConversion"/>
  </si>
  <si>
    <t>90 - 99세</t>
    <phoneticPr fontId="3" type="noConversion"/>
  </si>
  <si>
    <t>연령별</t>
    <phoneticPr fontId="3" type="noConversion"/>
  </si>
  <si>
    <t>부석면</t>
    <phoneticPr fontId="3" type="noConversion"/>
  </si>
  <si>
    <t>팔봉면</t>
    <phoneticPr fontId="3" type="noConversion"/>
  </si>
  <si>
    <t>지곡면</t>
    <phoneticPr fontId="3" type="noConversion"/>
  </si>
  <si>
    <t>음암면</t>
    <phoneticPr fontId="3" type="noConversion"/>
  </si>
  <si>
    <t>운산면</t>
    <phoneticPr fontId="3" type="noConversion"/>
  </si>
  <si>
    <t>성연면</t>
    <phoneticPr fontId="3" type="noConversion"/>
  </si>
  <si>
    <t>해미면</t>
    <phoneticPr fontId="3" type="noConversion"/>
  </si>
  <si>
    <t>고북면</t>
    <phoneticPr fontId="3" type="noConversion"/>
  </si>
  <si>
    <t>부춘동</t>
    <phoneticPr fontId="3" type="noConversion"/>
  </si>
  <si>
    <t>7회 지방 단체장</t>
    <phoneticPr fontId="3" type="noConversion"/>
  </si>
  <si>
    <t>8회 지방 단체장</t>
    <phoneticPr fontId="3" type="noConversion"/>
  </si>
  <si>
    <t>9회 지방 단체장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</si>
</sst>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sz val="8"/>
      <color rgb="FF444444"/>
      <name val="Noto Sans KR"/>
      <family val="3"/>
      <charset val="129"/>
    </font>
    <font>
      <sz val="8"/>
      <color rgb="FF222222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8"/>
      <color rgb="FF222222"/>
      <name val="Noto Sans KR"/>
      <family val="3"/>
      <charset val="129"/>
    </font>
    <font>
      <b/>
      <sz val="8"/>
      <color rgb="FF0070C0"/>
      <name val="Noto Sans KR"/>
      <family val="3"/>
      <charset val="129"/>
    </font>
    <font>
      <b/>
      <sz val="8"/>
      <color rgb="FFFF0000"/>
      <name val="Noto Sans KR"/>
      <family val="3"/>
      <charset val="129"/>
    </font>
    <font>
      <sz val="8"/>
      <color theme="1"/>
      <name val="Noto Sans KR"/>
      <family val="3"/>
      <charset val="129"/>
    </font>
    <font>
      <b/>
      <sz val="8"/>
      <color theme="1"/>
      <name val="Noto Sans KR"/>
      <family val="3"/>
      <charset val="129"/>
    </font>
    <font>
      <sz val="8"/>
      <name val="Noto Sans KR"/>
      <family val="3"/>
      <charset val="129"/>
    </font>
    <font>
      <sz val="8"/>
      <color rgb="FF0070C0"/>
      <name val="Noto Sans KR"/>
      <family val="3"/>
      <charset val="129"/>
    </font>
    <font>
      <sz val="8"/>
      <color rgb="FFFF0000"/>
      <name val="Noto Sans KR"/>
      <family val="3"/>
      <charset val="129"/>
    </font>
    <font>
      <b/>
      <sz val="8"/>
      <name val="Noto Sans KR"/>
      <family val="3"/>
      <charset val="129"/>
    </font>
    <font>
      <sz val="11"/>
      <color indexed="8"/>
      <name val="맑은 고딕"/>
      <family val="2"/>
      <scheme val="minor"/>
    </font>
    <font>
      <sz val="8"/>
      <color indexed="8"/>
      <name val="Noto Sans KR"/>
      <family val="3"/>
      <charset val="129"/>
    </font>
    <font>
      <b/>
      <sz val="8"/>
      <color indexed="8"/>
      <name val="Noto Sans KR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354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3" fontId="6" fillId="2" borderId="1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10" fontId="2" fillId="2" borderId="1" xfId="0" applyNumberFormat="1" applyFont="1" applyFill="1" applyBorder="1" applyAlignment="1">
      <alignment horizontal="right" vertical="center" wrapText="1"/>
    </xf>
    <xf numFmtId="10" fontId="5" fillId="2" borderId="1" xfId="0" applyNumberFormat="1" applyFont="1" applyFill="1" applyBorder="1" applyAlignment="1">
      <alignment horizontal="right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10" fontId="6" fillId="2" borderId="1" xfId="0" applyNumberFormat="1" applyFont="1" applyFill="1" applyBorder="1" applyAlignment="1">
      <alignment horizontal="right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0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3" fontId="10" fillId="2" borderId="1" xfId="0" applyNumberFormat="1" applyFont="1" applyFill="1" applyBorder="1" applyAlignment="1">
      <alignment horizontal="right" vertical="center" wrapText="1"/>
    </xf>
    <xf numFmtId="3" fontId="7" fillId="2" borderId="1" xfId="0" applyNumberFormat="1" applyFont="1" applyFill="1" applyBorder="1" applyAlignment="1">
      <alignment horizontal="right" vertical="center" wrapText="1"/>
    </xf>
    <xf numFmtId="3" fontId="11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10" fontId="7" fillId="0" borderId="0" xfId="0" applyNumberFormat="1" applyFont="1">
      <alignment vertical="center"/>
    </xf>
    <xf numFmtId="10" fontId="8" fillId="0" borderId="1" xfId="0" applyNumberFormat="1" applyFont="1" applyBorder="1">
      <alignment vertical="center"/>
    </xf>
    <xf numFmtId="10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10" fontId="5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10" fontId="6" fillId="0" borderId="1" xfId="0" applyNumberFormat="1" applyFont="1" applyBorder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10" fontId="10" fillId="0" borderId="1" xfId="0" applyNumberFormat="1" applyFont="1" applyBorder="1">
      <alignment vertical="center"/>
    </xf>
    <xf numFmtId="10" fontId="9" fillId="0" borderId="1" xfId="0" applyNumberFormat="1" applyFont="1" applyBorder="1">
      <alignment vertical="center"/>
    </xf>
    <xf numFmtId="10" fontId="11" fillId="0" borderId="1" xfId="0" applyNumberFormat="1" applyFont="1" applyBorder="1">
      <alignment vertical="center"/>
    </xf>
    <xf numFmtId="0" fontId="7" fillId="0" borderId="0" xfId="0" applyFont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10" fontId="7" fillId="0" borderId="1" xfId="0" applyNumberFormat="1" applyFont="1" applyBorder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10" fontId="9" fillId="2" borderId="1" xfId="0" applyNumberFormat="1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10" fontId="12" fillId="2" borderId="1" xfId="0" applyNumberFormat="1" applyFont="1" applyFill="1" applyBorder="1" applyAlignment="1">
      <alignment horizontal="right" vertical="center" wrapText="1"/>
    </xf>
    <xf numFmtId="10" fontId="9" fillId="0" borderId="0" xfId="0" applyNumberFormat="1" applyFont="1">
      <alignment vertical="center"/>
    </xf>
    <xf numFmtId="10" fontId="7" fillId="3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vertical="center" wrapText="1"/>
    </xf>
    <xf numFmtId="10" fontId="8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0" fontId="8" fillId="0" borderId="0" xfId="0" applyNumberFormat="1" applyFont="1" applyAlignment="1">
      <alignment vertical="center" wrapText="1"/>
    </xf>
    <xf numFmtId="0" fontId="5" fillId="2" borderId="1" xfId="0" applyFont="1" applyFill="1" applyBorder="1" applyAlignment="1">
      <alignment horizontal="right" vertical="center" wrapText="1"/>
    </xf>
    <xf numFmtId="10" fontId="5" fillId="0" borderId="1" xfId="0" applyNumberFormat="1" applyFont="1" applyBorder="1" applyAlignment="1">
      <alignment vertical="center" wrapText="1"/>
    </xf>
    <xf numFmtId="10" fontId="10" fillId="0" borderId="1" xfId="0" applyNumberFormat="1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10" fontId="6" fillId="0" borderId="1" xfId="0" applyNumberFormat="1" applyFont="1" applyBorder="1" applyAlignment="1">
      <alignment vertical="center" wrapText="1"/>
    </xf>
    <xf numFmtId="10" fontId="12" fillId="0" borderId="1" xfId="0" applyNumberFormat="1" applyFont="1" applyBorder="1" applyAlignment="1">
      <alignment vertical="center" wrapText="1"/>
    </xf>
    <xf numFmtId="10" fontId="7" fillId="0" borderId="5" xfId="0" applyNumberFormat="1" applyFont="1" applyBorder="1" applyAlignment="1">
      <alignment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3" fontId="7" fillId="0" borderId="1" xfId="0" applyNumberFormat="1" applyFont="1" applyBorder="1">
      <alignment vertical="center"/>
    </xf>
    <xf numFmtId="10" fontId="8" fillId="0" borderId="15" xfId="0" applyNumberFormat="1" applyFont="1" applyBorder="1" applyAlignment="1">
      <alignment vertical="center" wrapText="1"/>
    </xf>
    <xf numFmtId="3" fontId="11" fillId="0" borderId="1" xfId="0" applyNumberFormat="1" applyFont="1" applyBorder="1">
      <alignment vertical="center"/>
    </xf>
    <xf numFmtId="3" fontId="10" fillId="0" borderId="1" xfId="0" applyNumberFormat="1" applyFont="1" applyBorder="1">
      <alignment vertical="center"/>
    </xf>
    <xf numFmtId="3" fontId="11" fillId="0" borderId="1" xfId="0" applyNumberFormat="1" applyFont="1" applyBorder="1" applyAlignment="1">
      <alignment vertical="center" wrapText="1"/>
    </xf>
    <xf numFmtId="3" fontId="10" fillId="0" borderId="1" xfId="0" applyNumberFormat="1" applyFont="1" applyBorder="1" applyAlignment="1">
      <alignment vertical="center" wrapText="1"/>
    </xf>
    <xf numFmtId="10" fontId="11" fillId="0" borderId="5" xfId="0" applyNumberFormat="1" applyFont="1" applyBorder="1" applyAlignment="1">
      <alignment vertical="center" wrapText="1"/>
    </xf>
    <xf numFmtId="10" fontId="11" fillId="0" borderId="1" xfId="0" applyNumberFormat="1" applyFont="1" applyBorder="1" applyAlignment="1">
      <alignment vertical="center" wrapText="1"/>
    </xf>
    <xf numFmtId="10" fontId="9" fillId="0" borderId="5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3" fontId="5" fillId="4" borderId="1" xfId="0" applyNumberFormat="1" applyFont="1" applyFill="1" applyBorder="1" applyAlignment="1">
      <alignment horizontal="right" vertical="center" wrapText="1"/>
    </xf>
    <xf numFmtId="10" fontId="5" fillId="4" borderId="1" xfId="0" applyNumberFormat="1" applyFont="1" applyFill="1" applyBorder="1">
      <alignment vertical="center"/>
    </xf>
    <xf numFmtId="3" fontId="6" fillId="4" borderId="1" xfId="0" applyNumberFormat="1" applyFont="1" applyFill="1" applyBorder="1" applyAlignment="1">
      <alignment horizontal="right" vertical="center" wrapText="1"/>
    </xf>
    <xf numFmtId="10" fontId="6" fillId="4" borderId="1" xfId="0" applyNumberFormat="1" applyFont="1" applyFill="1" applyBorder="1">
      <alignment vertical="center"/>
    </xf>
    <xf numFmtId="3" fontId="2" fillId="4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>
      <alignment vertical="center"/>
    </xf>
    <xf numFmtId="10" fontId="7" fillId="4" borderId="1" xfId="0" applyNumberFormat="1" applyFont="1" applyFill="1" applyBorder="1">
      <alignment vertical="center"/>
    </xf>
    <xf numFmtId="0" fontId="2" fillId="4" borderId="1" xfId="0" applyFont="1" applyFill="1" applyBorder="1" applyAlignment="1">
      <alignment horizontal="right" vertical="center" wrapText="1"/>
    </xf>
    <xf numFmtId="10" fontId="5" fillId="4" borderId="1" xfId="0" applyNumberFormat="1" applyFont="1" applyFill="1" applyBorder="1" applyAlignment="1">
      <alignment vertical="center" wrapText="1"/>
    </xf>
    <xf numFmtId="10" fontId="7" fillId="4" borderId="1" xfId="0" applyNumberFormat="1" applyFont="1" applyFill="1" applyBorder="1" applyAlignment="1">
      <alignment vertical="center" wrapText="1"/>
    </xf>
    <xf numFmtId="10" fontId="6" fillId="4" borderId="1" xfId="0" applyNumberFormat="1" applyFont="1" applyFill="1" applyBorder="1" applyAlignment="1">
      <alignment vertical="center" wrapText="1"/>
    </xf>
    <xf numFmtId="3" fontId="5" fillId="4" borderId="1" xfId="0" applyNumberFormat="1" applyFont="1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 wrapText="1"/>
    </xf>
    <xf numFmtId="3" fontId="8" fillId="4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3" fontId="5" fillId="4" borderId="1" xfId="0" applyNumberFormat="1" applyFont="1" applyFill="1" applyBorder="1">
      <alignment vertical="center"/>
    </xf>
    <xf numFmtId="3" fontId="7" fillId="4" borderId="1" xfId="0" applyNumberFormat="1" applyFont="1" applyFill="1" applyBorder="1">
      <alignment vertical="center"/>
    </xf>
    <xf numFmtId="3" fontId="6" fillId="4" borderId="1" xfId="0" applyNumberFormat="1" applyFont="1" applyFill="1" applyBorder="1">
      <alignment vertical="center"/>
    </xf>
    <xf numFmtId="10" fontId="10" fillId="4" borderId="1" xfId="0" applyNumberFormat="1" applyFont="1" applyFill="1" applyBorder="1">
      <alignment vertical="center"/>
    </xf>
    <xf numFmtId="10" fontId="11" fillId="4" borderId="1" xfId="0" applyNumberFormat="1" applyFont="1" applyFill="1" applyBorder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right" vertical="center" wrapText="1"/>
    </xf>
    <xf numFmtId="3" fontId="2" fillId="2" borderId="23" xfId="0" applyNumberFormat="1" applyFont="1" applyFill="1" applyBorder="1" applyAlignment="1">
      <alignment horizontal="right" vertical="center" wrapText="1"/>
    </xf>
    <xf numFmtId="3" fontId="5" fillId="2" borderId="24" xfId="0" applyNumberFormat="1" applyFont="1" applyFill="1" applyBorder="1" applyAlignment="1">
      <alignment horizontal="right" vertical="center" wrapText="1"/>
    </xf>
    <xf numFmtId="3" fontId="8" fillId="2" borderId="24" xfId="0" applyNumberFormat="1" applyFont="1" applyFill="1" applyBorder="1" applyAlignment="1">
      <alignment horizontal="right" vertical="center" wrapText="1"/>
    </xf>
    <xf numFmtId="0" fontId="4" fillId="2" borderId="24" xfId="0" applyFont="1" applyFill="1" applyBorder="1" applyAlignment="1">
      <alignment horizontal="right" vertical="center" wrapText="1"/>
    </xf>
    <xf numFmtId="3" fontId="6" fillId="2" borderId="24" xfId="0" applyNumberFormat="1" applyFont="1" applyFill="1" applyBorder="1" applyAlignment="1">
      <alignment horizontal="right" vertical="center" wrapText="1"/>
    </xf>
    <xf numFmtId="3" fontId="11" fillId="0" borderId="24" xfId="0" applyNumberFormat="1" applyFont="1" applyBorder="1" applyAlignment="1">
      <alignment vertical="center" wrapText="1"/>
    </xf>
    <xf numFmtId="3" fontId="4" fillId="2" borderId="24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horizontal="right" vertical="center" wrapText="1"/>
    </xf>
    <xf numFmtId="10" fontId="11" fillId="0" borderId="22" xfId="0" applyNumberFormat="1" applyFont="1" applyBorder="1" applyAlignment="1">
      <alignment vertical="center" wrapText="1"/>
    </xf>
    <xf numFmtId="10" fontId="11" fillId="0" borderId="25" xfId="0" applyNumberFormat="1" applyFont="1" applyBorder="1" applyAlignment="1">
      <alignment vertical="center" wrapText="1"/>
    </xf>
    <xf numFmtId="10" fontId="10" fillId="0" borderId="22" xfId="0" applyNumberFormat="1" applyFont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 wrapText="1"/>
    </xf>
    <xf numFmtId="3" fontId="6" fillId="2" borderId="2" xfId="0" applyNumberFormat="1" applyFont="1" applyFill="1" applyBorder="1" applyAlignment="1">
      <alignment horizontal="right" vertical="center" wrapText="1"/>
    </xf>
    <xf numFmtId="3" fontId="11" fillId="0" borderId="2" xfId="0" applyNumberFormat="1" applyFont="1" applyBorder="1" applyAlignment="1">
      <alignment vertical="center" wrapText="1"/>
    </xf>
    <xf numFmtId="10" fontId="11" fillId="0" borderId="21" xfId="0" applyNumberFormat="1" applyFont="1" applyBorder="1" applyAlignment="1">
      <alignment vertical="center" wrapText="1"/>
    </xf>
    <xf numFmtId="3" fontId="10" fillId="2" borderId="24" xfId="0" applyNumberFormat="1" applyFont="1" applyFill="1" applyBorder="1" applyAlignment="1">
      <alignment horizontal="right" vertical="center" wrapText="1"/>
    </xf>
    <xf numFmtId="0" fontId="6" fillId="2" borderId="24" xfId="0" applyFont="1" applyFill="1" applyBorder="1" applyAlignment="1">
      <alignment horizontal="right" vertical="center" wrapText="1"/>
    </xf>
    <xf numFmtId="0" fontId="8" fillId="0" borderId="20" xfId="0" applyFont="1" applyBorder="1" applyAlignment="1">
      <alignment vertical="center" wrapText="1"/>
    </xf>
    <xf numFmtId="10" fontId="8" fillId="5" borderId="1" xfId="0" applyNumberFormat="1" applyFont="1" applyFill="1" applyBorder="1" applyAlignment="1">
      <alignment horizontal="right" vertical="center" wrapText="1"/>
    </xf>
    <xf numFmtId="10" fontId="6" fillId="5" borderId="1" xfId="0" applyNumberFormat="1" applyFont="1" applyFill="1" applyBorder="1" applyAlignment="1">
      <alignment horizontal="right"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0" fontId="10" fillId="5" borderId="22" xfId="0" applyNumberFormat="1" applyFont="1" applyFill="1" applyBorder="1" applyAlignment="1">
      <alignment vertical="center" wrapText="1"/>
    </xf>
    <xf numFmtId="3" fontId="10" fillId="0" borderId="24" xfId="0" applyNumberFormat="1" applyFont="1" applyBorder="1" applyAlignment="1">
      <alignment vertical="center" wrapText="1"/>
    </xf>
    <xf numFmtId="10" fontId="10" fillId="5" borderId="25" xfId="0" applyNumberFormat="1" applyFont="1" applyFill="1" applyBorder="1" applyAlignment="1">
      <alignment vertical="center" wrapText="1"/>
    </xf>
    <xf numFmtId="10" fontId="10" fillId="0" borderId="25" xfId="0" applyNumberFormat="1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10" fontId="8" fillId="0" borderId="24" xfId="0" applyNumberFormat="1" applyFont="1" applyBorder="1" applyAlignment="1">
      <alignment vertical="center" wrapText="1"/>
    </xf>
    <xf numFmtId="10" fontId="5" fillId="0" borderId="24" xfId="0" applyNumberFormat="1" applyFont="1" applyBorder="1" applyAlignment="1">
      <alignment vertical="center" wrapText="1"/>
    </xf>
    <xf numFmtId="10" fontId="9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3" fontId="2" fillId="2" borderId="5" xfId="0" applyNumberFormat="1" applyFont="1" applyFill="1" applyBorder="1" applyAlignment="1">
      <alignment horizontal="right" vertical="center" wrapText="1"/>
    </xf>
    <xf numFmtId="3" fontId="10" fillId="0" borderId="5" xfId="0" applyNumberFormat="1" applyFont="1" applyBorder="1" applyAlignment="1">
      <alignment vertical="center" wrapText="1"/>
    </xf>
    <xf numFmtId="3" fontId="10" fillId="2" borderId="5" xfId="0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vertical="center" wrapText="1"/>
    </xf>
    <xf numFmtId="3" fontId="2" fillId="0" borderId="24" xfId="0" applyNumberFormat="1" applyFont="1" applyBorder="1">
      <alignment vertical="center"/>
    </xf>
    <xf numFmtId="3" fontId="2" fillId="2" borderId="24" xfId="0" applyNumberFormat="1" applyFont="1" applyFill="1" applyBorder="1" applyAlignment="1">
      <alignment horizontal="right" vertical="center" wrapText="1"/>
    </xf>
    <xf numFmtId="176" fontId="2" fillId="0" borderId="5" xfId="0" applyNumberFormat="1" applyFont="1" applyBorder="1">
      <alignment vertical="center"/>
    </xf>
    <xf numFmtId="176" fontId="7" fillId="0" borderId="1" xfId="0" applyNumberFormat="1" applyFont="1" applyBorder="1" applyAlignment="1">
      <alignment vertical="center" wrapText="1"/>
    </xf>
    <xf numFmtId="176" fontId="11" fillId="0" borderId="1" xfId="0" applyNumberFormat="1" applyFont="1" applyBorder="1" applyAlignment="1">
      <alignment vertical="center" wrapText="1"/>
    </xf>
    <xf numFmtId="176" fontId="10" fillId="0" borderId="5" xfId="0" applyNumberFormat="1" applyFont="1" applyBorder="1" applyAlignment="1">
      <alignment vertical="center" wrapText="1"/>
    </xf>
    <xf numFmtId="176" fontId="10" fillId="2" borderId="5" xfId="0" applyNumberFormat="1" applyFont="1" applyFill="1" applyBorder="1" applyAlignment="1">
      <alignment horizontal="right" vertical="center" wrapText="1"/>
    </xf>
    <xf numFmtId="176" fontId="2" fillId="2" borderId="1" xfId="0" applyNumberFormat="1" applyFont="1" applyFill="1" applyBorder="1" applyAlignment="1">
      <alignment horizontal="right" vertical="center" wrapText="1"/>
    </xf>
    <xf numFmtId="176" fontId="7" fillId="0" borderId="5" xfId="0" applyNumberFormat="1" applyFont="1" applyBorder="1" applyAlignment="1">
      <alignment vertical="center" wrapText="1"/>
    </xf>
    <xf numFmtId="176" fontId="2" fillId="0" borderId="1" xfId="0" applyNumberFormat="1" applyFont="1" applyBorder="1">
      <alignment vertical="center"/>
    </xf>
    <xf numFmtId="3" fontId="7" fillId="0" borderId="5" xfId="0" applyNumberFormat="1" applyFont="1" applyBorder="1" applyAlignment="1">
      <alignment vertical="center" wrapText="1"/>
    </xf>
    <xf numFmtId="3" fontId="7" fillId="2" borderId="5" xfId="0" applyNumberFormat="1" applyFont="1" applyFill="1" applyBorder="1" applyAlignment="1">
      <alignment horizontal="right" vertical="center" wrapText="1"/>
    </xf>
    <xf numFmtId="3" fontId="4" fillId="0" borderId="24" xfId="0" applyNumberFormat="1" applyFont="1" applyBorder="1">
      <alignment vertical="center"/>
    </xf>
    <xf numFmtId="3" fontId="4" fillId="0" borderId="1" xfId="0" applyNumberFormat="1" applyFont="1" applyBorder="1">
      <alignment vertical="center"/>
    </xf>
    <xf numFmtId="3" fontId="8" fillId="0" borderId="1" xfId="0" applyNumberFormat="1" applyFont="1" applyBorder="1">
      <alignment vertical="center"/>
    </xf>
    <xf numFmtId="3" fontId="6" fillId="0" borderId="1" xfId="0" applyNumberFormat="1" applyFont="1" applyBorder="1" applyAlignment="1">
      <alignment vertical="center" wrapText="1"/>
    </xf>
    <xf numFmtId="3" fontId="6" fillId="0" borderId="24" xfId="0" applyNumberFormat="1" applyFont="1" applyBorder="1">
      <alignment vertical="center"/>
    </xf>
    <xf numFmtId="10" fontId="6" fillId="0" borderId="24" xfId="0" applyNumberFormat="1" applyFont="1" applyBorder="1" applyAlignment="1">
      <alignment vertical="center" wrapText="1"/>
    </xf>
    <xf numFmtId="3" fontId="5" fillId="0" borderId="1" xfId="0" applyNumberFormat="1" applyFont="1" applyBorder="1">
      <alignment vertical="center"/>
    </xf>
    <xf numFmtId="3" fontId="5" fillId="0" borderId="24" xfId="0" applyNumberFormat="1" applyFont="1" applyBorder="1">
      <alignment vertical="center"/>
    </xf>
    <xf numFmtId="10" fontId="5" fillId="5" borderId="1" xfId="0" applyNumberFormat="1" applyFont="1" applyFill="1" applyBorder="1" applyAlignment="1">
      <alignment horizontal="right" vertical="center" wrapText="1"/>
    </xf>
    <xf numFmtId="176" fontId="10" fillId="0" borderId="5" xfId="0" applyNumberFormat="1" applyFont="1" applyBorder="1">
      <alignment vertical="center"/>
    </xf>
    <xf numFmtId="177" fontId="10" fillId="0" borderId="1" xfId="0" applyNumberFormat="1" applyFont="1" applyBorder="1" applyAlignment="1">
      <alignment vertical="center" wrapText="1"/>
    </xf>
    <xf numFmtId="10" fontId="5" fillId="2" borderId="24" xfId="0" applyNumberFormat="1" applyFont="1" applyFill="1" applyBorder="1" applyAlignment="1">
      <alignment horizontal="right" vertical="center" wrapText="1"/>
    </xf>
    <xf numFmtId="10" fontId="12" fillId="2" borderId="24" xfId="0" applyNumberFormat="1" applyFont="1" applyFill="1" applyBorder="1" applyAlignment="1">
      <alignment horizontal="right" vertical="center" wrapText="1"/>
    </xf>
    <xf numFmtId="3" fontId="6" fillId="0" borderId="1" xfId="0" applyNumberFormat="1" applyFont="1" applyBorder="1">
      <alignment vertical="center"/>
    </xf>
    <xf numFmtId="177" fontId="11" fillId="0" borderId="1" xfId="0" applyNumberFormat="1" applyFont="1" applyBorder="1" applyAlignment="1">
      <alignment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10" fontId="5" fillId="6" borderId="4" xfId="0" applyNumberFormat="1" applyFont="1" applyFill="1" applyBorder="1" applyAlignment="1">
      <alignment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10" fontId="6" fillId="6" borderId="4" xfId="0" applyNumberFormat="1" applyFont="1" applyFill="1" applyBorder="1" applyAlignment="1">
      <alignment vertical="center" wrapText="1"/>
    </xf>
    <xf numFmtId="3" fontId="5" fillId="6" borderId="24" xfId="0" applyNumberFormat="1" applyFont="1" applyFill="1" applyBorder="1" applyAlignment="1">
      <alignment horizontal="right" vertical="center" wrapText="1"/>
    </xf>
    <xf numFmtId="10" fontId="5" fillId="6" borderId="27" xfId="0" applyNumberFormat="1" applyFont="1" applyFill="1" applyBorder="1" applyAlignment="1">
      <alignment vertical="center" wrapText="1"/>
    </xf>
    <xf numFmtId="10" fontId="6" fillId="6" borderId="22" xfId="0" applyNumberFormat="1" applyFont="1" applyFill="1" applyBorder="1" applyAlignment="1">
      <alignment vertical="center" wrapText="1"/>
    </xf>
    <xf numFmtId="10" fontId="5" fillId="6" borderId="22" xfId="0" applyNumberFormat="1" applyFont="1" applyFill="1" applyBorder="1" applyAlignment="1">
      <alignment vertical="center" wrapText="1"/>
    </xf>
    <xf numFmtId="10" fontId="5" fillId="6" borderId="25" xfId="0" applyNumberFormat="1" applyFont="1" applyFill="1" applyBorder="1" applyAlignment="1">
      <alignment vertical="center" wrapText="1"/>
    </xf>
    <xf numFmtId="3" fontId="6" fillId="6" borderId="2" xfId="0" applyNumberFormat="1" applyFont="1" applyFill="1" applyBorder="1" applyAlignment="1">
      <alignment horizontal="right" vertical="center" wrapText="1"/>
    </xf>
    <xf numFmtId="10" fontId="5" fillId="6" borderId="1" xfId="0" applyNumberFormat="1" applyFont="1" applyFill="1" applyBorder="1" applyAlignment="1">
      <alignment vertical="center" wrapText="1"/>
    </xf>
    <xf numFmtId="10" fontId="6" fillId="6" borderId="1" xfId="0" applyNumberFormat="1" applyFont="1" applyFill="1" applyBorder="1" applyAlignment="1">
      <alignment vertical="center" wrapText="1"/>
    </xf>
    <xf numFmtId="10" fontId="6" fillId="6" borderId="2" xfId="0" applyNumberFormat="1" applyFont="1" applyFill="1" applyBorder="1" applyAlignment="1">
      <alignment vertical="center" wrapText="1"/>
    </xf>
    <xf numFmtId="3" fontId="5" fillId="6" borderId="1" xfId="0" applyNumberFormat="1" applyFont="1" applyFill="1" applyBorder="1" applyAlignment="1">
      <alignment vertical="center" wrapText="1"/>
    </xf>
    <xf numFmtId="3" fontId="6" fillId="6" borderId="24" xfId="0" applyNumberFormat="1" applyFont="1" applyFill="1" applyBorder="1" applyAlignment="1">
      <alignment vertical="center" wrapText="1"/>
    </xf>
    <xf numFmtId="10" fontId="6" fillId="6" borderId="24" xfId="0" applyNumberFormat="1" applyFont="1" applyFill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  <xf numFmtId="10" fontId="6" fillId="6" borderId="25" xfId="0" applyNumberFormat="1" applyFont="1" applyFill="1" applyBorder="1" applyAlignment="1">
      <alignment vertical="center" wrapText="1"/>
    </xf>
    <xf numFmtId="3" fontId="5" fillId="6" borderId="2" xfId="0" applyNumberFormat="1" applyFont="1" applyFill="1" applyBorder="1" applyAlignment="1">
      <alignment vertical="center" wrapText="1"/>
    </xf>
    <xf numFmtId="10" fontId="5" fillId="6" borderId="21" xfId="0" applyNumberFormat="1" applyFont="1" applyFill="1" applyBorder="1" applyAlignment="1">
      <alignment vertical="center" wrapText="1"/>
    </xf>
    <xf numFmtId="3" fontId="5" fillId="6" borderId="24" xfId="0" applyNumberFormat="1" applyFont="1" applyFill="1" applyBorder="1" applyAlignment="1">
      <alignment vertical="center" wrapText="1"/>
    </xf>
    <xf numFmtId="10" fontId="5" fillId="6" borderId="24" xfId="0" applyNumberFormat="1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3" fontId="6" fillId="6" borderId="24" xfId="0" applyNumberFormat="1" applyFont="1" applyFill="1" applyBorder="1" applyAlignment="1">
      <alignment horizontal="right" vertical="center" wrapText="1"/>
    </xf>
    <xf numFmtId="10" fontId="6" fillId="5" borderId="31" xfId="0" applyNumberFormat="1" applyFont="1" applyFill="1" applyBorder="1" applyAlignment="1">
      <alignment vertical="center" wrapText="1"/>
    </xf>
    <xf numFmtId="10" fontId="5" fillId="5" borderId="31" xfId="0" applyNumberFormat="1" applyFont="1" applyFill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0" fontId="6" fillId="5" borderId="33" xfId="0" applyNumberFormat="1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4" fillId="5" borderId="1" xfId="1" applyFont="1" applyFill="1" applyBorder="1" applyAlignment="1">
      <alignment horizontal="center" vertical="center" wrapText="1"/>
    </xf>
    <xf numFmtId="3" fontId="14" fillId="5" borderId="1" xfId="1" applyNumberFormat="1" applyFont="1" applyFill="1" applyBorder="1" applyAlignment="1">
      <alignment horizontal="right" wrapText="1"/>
    </xf>
    <xf numFmtId="3" fontId="7" fillId="0" borderId="1" xfId="0" applyNumberFormat="1" applyFont="1" applyBorder="1" applyAlignment="1">
      <alignment horizontal="right" wrapText="1"/>
    </xf>
    <xf numFmtId="0" fontId="8" fillId="8" borderId="2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8" fillId="8" borderId="7" xfId="0" applyFont="1" applyFill="1" applyBorder="1" applyAlignment="1">
      <alignment horizontal="center" wrapText="1"/>
    </xf>
    <xf numFmtId="3" fontId="7" fillId="0" borderId="3" xfId="0" applyNumberFormat="1" applyFont="1" applyBorder="1" applyAlignment="1">
      <alignment horizontal="right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3" fontId="15" fillId="7" borderId="1" xfId="1" applyNumberFormat="1" applyFont="1" applyFill="1" applyBorder="1" applyAlignment="1">
      <alignment horizontal="right" wrapText="1"/>
    </xf>
    <xf numFmtId="0" fontId="15" fillId="8" borderId="1" xfId="1" applyFont="1" applyFill="1" applyBorder="1" applyAlignment="1">
      <alignment horizontal="center" vertical="center" wrapText="1"/>
    </xf>
    <xf numFmtId="3" fontId="8" fillId="9" borderId="3" xfId="0" applyNumberFormat="1" applyFont="1" applyFill="1" applyBorder="1" applyAlignment="1">
      <alignment horizontal="right" wrapText="1"/>
    </xf>
    <xf numFmtId="3" fontId="8" fillId="9" borderId="1" xfId="0" applyNumberFormat="1" applyFont="1" applyFill="1" applyBorder="1" applyAlignment="1">
      <alignment horizontal="right" wrapText="1"/>
    </xf>
    <xf numFmtId="0" fontId="7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8" fillId="8" borderId="1" xfId="0" applyFont="1" applyFill="1" applyBorder="1" applyAlignment="1">
      <alignment horizontal="left" vertical="center" wrapText="1"/>
    </xf>
    <xf numFmtId="3" fontId="8" fillId="9" borderId="1" xfId="0" applyNumberFormat="1" applyFont="1" applyFill="1" applyBorder="1">
      <alignment vertical="center"/>
    </xf>
    <xf numFmtId="3" fontId="4" fillId="9" borderId="1" xfId="0" applyNumberFormat="1" applyFont="1" applyFill="1" applyBorder="1" applyAlignment="1">
      <alignment horizontal="right" vertical="center" wrapText="1"/>
    </xf>
    <xf numFmtId="3" fontId="4" fillId="9" borderId="1" xfId="0" applyNumberFormat="1" applyFont="1" applyFill="1" applyBorder="1">
      <alignment vertical="center"/>
    </xf>
    <xf numFmtId="3" fontId="7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9" borderId="1" xfId="0" applyNumberFormat="1" applyFont="1" applyFill="1" applyBorder="1">
      <alignment vertical="center"/>
    </xf>
    <xf numFmtId="0" fontId="7" fillId="9" borderId="1" xfId="0" applyFont="1" applyFill="1" applyBorder="1">
      <alignment vertical="center"/>
    </xf>
    <xf numFmtId="3" fontId="2" fillId="9" borderId="1" xfId="0" applyNumberFormat="1" applyFont="1" applyFill="1" applyBorder="1">
      <alignment vertical="center"/>
    </xf>
    <xf numFmtId="0" fontId="8" fillId="8" borderId="1" xfId="0" applyFont="1" applyFill="1" applyBorder="1" applyAlignment="1">
      <alignment horizontal="center" vertical="center"/>
    </xf>
    <xf numFmtId="0" fontId="15" fillId="8" borderId="2" xfId="1" applyFont="1" applyFill="1" applyBorder="1" applyAlignment="1">
      <alignment horizontal="center" vertical="center" wrapText="1"/>
    </xf>
    <xf numFmtId="0" fontId="15" fillId="8" borderId="3" xfId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3" fontId="15" fillId="9" borderId="1" xfId="1" applyNumberFormat="1" applyFont="1" applyFill="1" applyBorder="1" applyAlignment="1">
      <alignment horizontal="right" wrapText="1"/>
    </xf>
    <xf numFmtId="0" fontId="7" fillId="5" borderId="1" xfId="0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3" fontId="7" fillId="5" borderId="1" xfId="0" applyNumberFormat="1" applyFont="1" applyFill="1" applyBorder="1" applyAlignment="1">
      <alignment vertical="center" wrapText="1"/>
    </xf>
    <xf numFmtId="3" fontId="15" fillId="9" borderId="2" xfId="1" applyNumberFormat="1" applyFont="1" applyFill="1" applyBorder="1" applyAlignment="1">
      <alignment horizontal="right" wrapText="1"/>
    </xf>
    <xf numFmtId="3" fontId="8" fillId="9" borderId="2" xfId="0" applyNumberFormat="1" applyFont="1" applyFill="1" applyBorder="1" applyAlignment="1">
      <alignment vertical="center" wrapText="1"/>
    </xf>
    <xf numFmtId="3" fontId="15" fillId="9" borderId="3" xfId="1" applyNumberFormat="1" applyFont="1" applyFill="1" applyBorder="1" applyAlignment="1">
      <alignment horizontal="right" wrapText="1"/>
    </xf>
    <xf numFmtId="3" fontId="8" fillId="9" borderId="3" xfId="0" applyNumberFormat="1" applyFont="1" applyFill="1" applyBorder="1" applyAlignment="1">
      <alignment vertical="center" wrapText="1"/>
    </xf>
    <xf numFmtId="0" fontId="8" fillId="8" borderId="17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3" fontId="4" fillId="9" borderId="17" xfId="0" applyNumberFormat="1" applyFont="1" applyFill="1" applyBorder="1" applyAlignment="1">
      <alignment horizontal="right" vertical="center" wrapText="1"/>
    </xf>
    <xf numFmtId="3" fontId="4" fillId="9" borderId="17" xfId="0" applyNumberFormat="1" applyFont="1" applyFill="1" applyBorder="1">
      <alignment vertical="center"/>
    </xf>
    <xf numFmtId="3" fontId="8" fillId="0" borderId="17" xfId="0" applyNumberFormat="1" applyFont="1" applyBorder="1">
      <alignment vertical="center"/>
    </xf>
    <xf numFmtId="3" fontId="8" fillId="0" borderId="26" xfId="0" applyNumberFormat="1" applyFont="1" applyBorder="1">
      <alignment vertical="center"/>
    </xf>
    <xf numFmtId="3" fontId="7" fillId="0" borderId="22" xfId="0" applyNumberFormat="1" applyFont="1" applyBorder="1">
      <alignment vertical="center"/>
    </xf>
    <xf numFmtId="3" fontId="4" fillId="9" borderId="24" xfId="0" applyNumberFormat="1" applyFont="1" applyFill="1" applyBorder="1">
      <alignment vertical="center"/>
    </xf>
    <xf numFmtId="3" fontId="4" fillId="9" borderId="24" xfId="0" applyNumberFormat="1" applyFont="1" applyFill="1" applyBorder="1" applyAlignment="1">
      <alignment horizontal="right" vertical="center" wrapText="1"/>
    </xf>
    <xf numFmtId="3" fontId="7" fillId="0" borderId="24" xfId="0" applyNumberFormat="1" applyFont="1" applyBorder="1">
      <alignment vertical="center"/>
    </xf>
    <xf numFmtId="3" fontId="7" fillId="0" borderId="25" xfId="0" applyNumberFormat="1" applyFont="1" applyBorder="1">
      <alignment vertical="center"/>
    </xf>
    <xf numFmtId="0" fontId="1" fillId="4" borderId="3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0" fontId="1" fillId="6" borderId="4" xfId="0" applyNumberFormat="1" applyFont="1" applyFill="1" applyBorder="1" applyAlignment="1">
      <alignment horizontal="center" vertical="center" wrapText="1"/>
    </xf>
    <xf numFmtId="10" fontId="1" fillId="4" borderId="22" xfId="0" applyNumberFormat="1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10" fontId="1" fillId="6" borderId="26" xfId="0" applyNumberFormat="1" applyFont="1" applyFill="1" applyBorder="1" applyAlignment="1">
      <alignment horizontal="center" vertical="center" wrapText="1"/>
    </xf>
    <xf numFmtId="10" fontId="1" fillId="6" borderId="22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5" fillId="8" borderId="16" xfId="1" applyFont="1" applyFill="1" applyBorder="1" applyAlignment="1">
      <alignment horizontal="center" vertical="center" wrapText="1"/>
    </xf>
    <xf numFmtId="0" fontId="15" fillId="8" borderId="20" xfId="1" applyFont="1" applyFill="1" applyBorder="1" applyAlignment="1">
      <alignment horizontal="center" vertical="center" wrapText="1"/>
    </xf>
    <xf numFmtId="0" fontId="15" fillId="8" borderId="23" xfId="1" applyFont="1" applyFill="1" applyBorder="1" applyAlignment="1">
      <alignment horizontal="center" vertical="center" wrapText="1"/>
    </xf>
    <xf numFmtId="0" fontId="15" fillId="8" borderId="2" xfId="1" applyFont="1" applyFill="1" applyBorder="1" applyAlignment="1">
      <alignment horizontal="center" vertical="center" wrapText="1"/>
    </xf>
    <xf numFmtId="0" fontId="15" fillId="8" borderId="7" xfId="1" applyFont="1" applyFill="1" applyBorder="1" applyAlignment="1">
      <alignment horizontal="center" vertical="center" wrapText="1"/>
    </xf>
    <xf numFmtId="0" fontId="15" fillId="8" borderId="3" xfId="1" applyFont="1" applyFill="1" applyBorder="1" applyAlignment="1">
      <alignment horizontal="center" vertical="center" wrapText="1"/>
    </xf>
    <xf numFmtId="0" fontId="15" fillId="8" borderId="1" xfId="1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 wrapText="1"/>
    </xf>
    <xf numFmtId="0" fontId="8" fillId="8" borderId="34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35" xfId="0" applyFont="1" applyFill="1" applyBorder="1" applyAlignment="1">
      <alignment horizontal="center" vertical="center" wrapText="1"/>
    </xf>
    <xf numFmtId="10" fontId="9" fillId="4" borderId="1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0" fontId="7" fillId="4" borderId="2" xfId="0" applyNumberFormat="1" applyFont="1" applyFill="1" applyBorder="1" applyAlignment="1">
      <alignment horizontal="center" vertical="center" wrapText="1"/>
    </xf>
    <xf numFmtId="10" fontId="7" fillId="4" borderId="3" xfId="0" applyNumberFormat="1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10" fontId="1" fillId="4" borderId="14" xfId="0" applyNumberFormat="1" applyFont="1" applyFill="1" applyBorder="1" applyAlignment="1">
      <alignment horizontal="center" vertical="center" wrapText="1"/>
    </xf>
    <xf numFmtId="10" fontId="1" fillId="4" borderId="12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0" fontId="1" fillId="3" borderId="6" xfId="0" applyNumberFormat="1" applyFont="1" applyFill="1" applyBorder="1" applyAlignment="1">
      <alignment horizontal="center" vertical="center" wrapText="1"/>
    </xf>
    <xf numFmtId="10" fontId="1" fillId="3" borderId="12" xfId="0" applyNumberFormat="1" applyFont="1" applyFill="1" applyBorder="1" applyAlignment="1">
      <alignment horizontal="center" vertical="center" wrapText="1"/>
    </xf>
    <xf numFmtId="10" fontId="1" fillId="3" borderId="2" xfId="0" applyNumberFormat="1" applyFont="1" applyFill="1" applyBorder="1" applyAlignment="1">
      <alignment horizontal="center" vertical="center" wrapText="1"/>
    </xf>
    <xf numFmtId="10" fontId="1" fillId="3" borderId="3" xfId="0" applyNumberFormat="1" applyFont="1" applyFill="1" applyBorder="1" applyAlignment="1">
      <alignment horizontal="center" vertical="center" wrapText="1"/>
    </xf>
    <xf numFmtId="10" fontId="1" fillId="4" borderId="2" xfId="0" applyNumberFormat="1" applyFont="1" applyFill="1" applyBorder="1" applyAlignment="1">
      <alignment horizontal="center" vertical="center" wrapText="1"/>
    </xf>
    <xf numFmtId="10" fontId="1" fillId="4" borderId="3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0" fontId="1" fillId="3" borderId="8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CC67E8A3-FACD-4821-8155-7F03583A89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0E28-DD91-4D02-9F10-01FA4BC219AA}">
  <dimension ref="A1:H22"/>
  <sheetViews>
    <sheetView workbookViewId="0">
      <selection activeCell="I17" sqref="I17"/>
    </sheetView>
  </sheetViews>
  <sheetFormatPr defaultColWidth="10.69921875" defaultRowHeight="17.399999999999999" customHeight="1" x14ac:dyDescent="0.4"/>
  <cols>
    <col min="1" max="1" width="10.69921875" style="130"/>
    <col min="2" max="2" width="9.796875" style="130" customWidth="1"/>
    <col min="3" max="16384" width="10.69921875" style="130"/>
  </cols>
  <sheetData>
    <row r="1" spans="1:7" ht="17.399999999999999" customHeight="1" x14ac:dyDescent="0.4">
      <c r="A1" s="300" t="s">
        <v>240</v>
      </c>
      <c r="B1" s="300"/>
      <c r="C1" s="300"/>
      <c r="D1" s="300"/>
      <c r="E1" s="300"/>
      <c r="F1" s="300"/>
      <c r="G1" s="300"/>
    </row>
    <row r="2" spans="1:7" ht="17.399999999999999" customHeight="1" x14ac:dyDescent="0.4">
      <c r="A2" s="221" t="s">
        <v>244</v>
      </c>
      <c r="B2" s="221" t="s">
        <v>243</v>
      </c>
      <c r="C2" s="238" t="s">
        <v>241</v>
      </c>
      <c r="D2" s="238" t="s">
        <v>6</v>
      </c>
      <c r="E2" s="226" t="s">
        <v>3</v>
      </c>
      <c r="F2" s="226" t="s">
        <v>242</v>
      </c>
      <c r="G2" s="238" t="s">
        <v>130</v>
      </c>
    </row>
    <row r="3" spans="1:7" ht="17.399999999999999" customHeight="1" x14ac:dyDescent="0.4">
      <c r="A3" s="221">
        <v>2016</v>
      </c>
      <c r="B3" s="229" t="s">
        <v>245</v>
      </c>
      <c r="C3" s="230">
        <v>135389</v>
      </c>
      <c r="D3" s="230">
        <v>60580</v>
      </c>
      <c r="E3" s="235">
        <v>74809</v>
      </c>
      <c r="F3" s="235">
        <v>1040</v>
      </c>
      <c r="G3" s="230">
        <v>73769</v>
      </c>
    </row>
    <row r="4" spans="1:7" ht="17.399999999999999" customHeight="1" x14ac:dyDescent="0.4">
      <c r="A4" s="221">
        <v>2017</v>
      </c>
      <c r="B4" s="229" t="s">
        <v>246</v>
      </c>
      <c r="C4" s="230">
        <v>137217</v>
      </c>
      <c r="D4" s="230">
        <v>38358</v>
      </c>
      <c r="E4" s="235">
        <v>98859</v>
      </c>
      <c r="F4" s="236">
        <v>484</v>
      </c>
      <c r="G4" s="230">
        <v>98375</v>
      </c>
    </row>
    <row r="5" spans="1:7" ht="17.399999999999999" customHeight="1" x14ac:dyDescent="0.4">
      <c r="A5" s="301" t="s">
        <v>250</v>
      </c>
      <c r="B5" s="281"/>
      <c r="C5" s="233">
        <f>C4-C3</f>
        <v>1828</v>
      </c>
      <c r="D5" s="233">
        <f t="shared" ref="D5:G5" si="0">D4-D3</f>
        <v>-22222</v>
      </c>
      <c r="E5" s="233">
        <f t="shared" si="0"/>
        <v>24050</v>
      </c>
      <c r="F5" s="233">
        <f t="shared" si="0"/>
        <v>-556</v>
      </c>
      <c r="G5" s="233">
        <f t="shared" si="0"/>
        <v>24606</v>
      </c>
    </row>
    <row r="6" spans="1:7" s="227" customFormat="1" ht="17.399999999999999" customHeight="1" x14ac:dyDescent="0.4">
      <c r="A6" s="221">
        <v>2018</v>
      </c>
      <c r="B6" s="229" t="s">
        <v>263</v>
      </c>
      <c r="C6" s="230">
        <v>139529</v>
      </c>
      <c r="D6" s="230">
        <v>57527</v>
      </c>
      <c r="E6" s="235">
        <v>82002</v>
      </c>
      <c r="F6" s="235">
        <v>1522</v>
      </c>
      <c r="G6" s="230">
        <v>80480</v>
      </c>
    </row>
    <row r="7" spans="1:7" ht="17.399999999999999" customHeight="1" x14ac:dyDescent="0.4">
      <c r="A7" s="284" t="s">
        <v>251</v>
      </c>
      <c r="B7" s="281"/>
      <c r="C7" s="233">
        <f>C6-C4</f>
        <v>2312</v>
      </c>
      <c r="D7" s="233">
        <f t="shared" ref="D7:G7" si="1">D6-D4</f>
        <v>19169</v>
      </c>
      <c r="E7" s="233">
        <f t="shared" si="1"/>
        <v>-16857</v>
      </c>
      <c r="F7" s="233">
        <f t="shared" si="1"/>
        <v>1038</v>
      </c>
      <c r="G7" s="233">
        <f t="shared" si="1"/>
        <v>-17895</v>
      </c>
    </row>
    <row r="8" spans="1:7" s="227" customFormat="1" ht="17.399999999999999" customHeight="1" x14ac:dyDescent="0.4">
      <c r="A8" s="221">
        <v>2020</v>
      </c>
      <c r="B8" s="229" t="s">
        <v>247</v>
      </c>
      <c r="C8" s="230">
        <v>145216</v>
      </c>
      <c r="D8" s="230">
        <v>53327</v>
      </c>
      <c r="E8" s="235">
        <v>91889</v>
      </c>
      <c r="F8" s="235">
        <v>1166</v>
      </c>
      <c r="G8" s="230">
        <v>90723</v>
      </c>
    </row>
    <row r="9" spans="1:7" ht="17.399999999999999" customHeight="1" x14ac:dyDescent="0.4">
      <c r="A9" s="284" t="s">
        <v>252</v>
      </c>
      <c r="B9" s="281"/>
      <c r="C9" s="233">
        <f>C8-C6</f>
        <v>5687</v>
      </c>
      <c r="D9" s="233">
        <f t="shared" ref="D9:G9" si="2">D8-D6</f>
        <v>-4200</v>
      </c>
      <c r="E9" s="233">
        <f t="shared" si="2"/>
        <v>9887</v>
      </c>
      <c r="F9" s="233">
        <f t="shared" si="2"/>
        <v>-356</v>
      </c>
      <c r="G9" s="233">
        <f t="shared" si="2"/>
        <v>10243</v>
      </c>
    </row>
    <row r="10" spans="1:7" s="227" customFormat="1" ht="17.399999999999999" customHeight="1" x14ac:dyDescent="0.4">
      <c r="A10" s="221">
        <v>2022</v>
      </c>
      <c r="B10" s="229" t="s">
        <v>248</v>
      </c>
      <c r="C10" s="230">
        <v>148201</v>
      </c>
      <c r="D10" s="230">
        <v>39211</v>
      </c>
      <c r="E10" s="235">
        <v>108990</v>
      </c>
      <c r="F10" s="235">
        <v>1070</v>
      </c>
      <c r="G10" s="230">
        <v>107920</v>
      </c>
    </row>
    <row r="11" spans="1:7" ht="17.399999999999999" customHeight="1" x14ac:dyDescent="0.4">
      <c r="A11" s="284" t="s">
        <v>253</v>
      </c>
      <c r="B11" s="281"/>
      <c r="C11" s="233">
        <f>C10-C8</f>
        <v>2985</v>
      </c>
      <c r="D11" s="233">
        <f t="shared" ref="D11:G11" si="3">D10-D8</f>
        <v>-14116</v>
      </c>
      <c r="E11" s="233">
        <f t="shared" si="3"/>
        <v>17101</v>
      </c>
      <c r="F11" s="233">
        <f t="shared" si="3"/>
        <v>-96</v>
      </c>
      <c r="G11" s="233">
        <f t="shared" si="3"/>
        <v>17197</v>
      </c>
    </row>
    <row r="12" spans="1:7" s="227" customFormat="1" ht="17.399999999999999" customHeight="1" x14ac:dyDescent="0.4">
      <c r="A12" s="221">
        <v>2022</v>
      </c>
      <c r="B12" s="229" t="s">
        <v>262</v>
      </c>
      <c r="C12" s="230">
        <v>148744</v>
      </c>
      <c r="D12" s="230">
        <v>76499</v>
      </c>
      <c r="E12" s="235">
        <v>72245</v>
      </c>
      <c r="F12" s="235">
        <v>1273</v>
      </c>
      <c r="G12" s="230">
        <v>70972</v>
      </c>
    </row>
    <row r="13" spans="1:7" ht="17.399999999999999" customHeight="1" x14ac:dyDescent="0.4">
      <c r="A13" s="284" t="s">
        <v>254</v>
      </c>
      <c r="B13" s="281"/>
      <c r="C13" s="233">
        <f>C12-C10</f>
        <v>543</v>
      </c>
      <c r="D13" s="233">
        <f t="shared" ref="D13:G13" si="4">D12-D10</f>
        <v>37288</v>
      </c>
      <c r="E13" s="233">
        <f t="shared" si="4"/>
        <v>-36745</v>
      </c>
      <c r="F13" s="233">
        <f t="shared" si="4"/>
        <v>203</v>
      </c>
      <c r="G13" s="233">
        <f t="shared" si="4"/>
        <v>-36948</v>
      </c>
    </row>
    <row r="14" spans="1:7" s="227" customFormat="1" ht="17.399999999999999" customHeight="1" x14ac:dyDescent="0.4">
      <c r="A14" s="221">
        <v>2024</v>
      </c>
      <c r="B14" s="229" t="s">
        <v>249</v>
      </c>
      <c r="C14" s="230">
        <v>149039</v>
      </c>
      <c r="D14" s="230">
        <v>50020</v>
      </c>
      <c r="E14" s="235">
        <v>99019</v>
      </c>
      <c r="F14" s="235">
        <v>1148</v>
      </c>
      <c r="G14" s="230">
        <v>97871</v>
      </c>
    </row>
    <row r="15" spans="1:7" ht="17.399999999999999" customHeight="1" x14ac:dyDescent="0.4">
      <c r="A15" s="284" t="s">
        <v>255</v>
      </c>
      <c r="B15" s="281"/>
      <c r="C15" s="233">
        <f>C14-C12</f>
        <v>295</v>
      </c>
      <c r="D15" s="233">
        <f t="shared" ref="D15:G15" si="5">D14-D12</f>
        <v>-26479</v>
      </c>
      <c r="E15" s="233">
        <f t="shared" si="5"/>
        <v>26774</v>
      </c>
      <c r="F15" s="233">
        <f t="shared" si="5"/>
        <v>-125</v>
      </c>
      <c r="G15" s="233">
        <f t="shared" si="5"/>
        <v>26899</v>
      </c>
    </row>
    <row r="16" spans="1:7" s="227" customFormat="1" ht="17.399999999999999" customHeight="1" x14ac:dyDescent="0.4">
      <c r="A16" s="221">
        <v>2025</v>
      </c>
      <c r="B16" s="229" t="s">
        <v>260</v>
      </c>
      <c r="C16" s="230">
        <v>148454</v>
      </c>
      <c r="D16" s="230">
        <v>36730</v>
      </c>
      <c r="E16" s="235">
        <v>111724</v>
      </c>
      <c r="F16" s="236">
        <v>861</v>
      </c>
      <c r="G16" s="230">
        <v>110863</v>
      </c>
    </row>
    <row r="17" spans="1:8" ht="17.399999999999999" customHeight="1" x14ac:dyDescent="0.4">
      <c r="A17" s="284" t="s">
        <v>256</v>
      </c>
      <c r="B17" s="281"/>
      <c r="C17" s="233">
        <f>C16-C14</f>
        <v>-585</v>
      </c>
      <c r="D17" s="233">
        <f t="shared" ref="D17:G17" si="6">D16-D14</f>
        <v>-13290</v>
      </c>
      <c r="E17" s="233">
        <f t="shared" si="6"/>
        <v>12705</v>
      </c>
      <c r="F17" s="233">
        <f t="shared" si="6"/>
        <v>-287</v>
      </c>
      <c r="G17" s="233">
        <f t="shared" si="6"/>
        <v>12992</v>
      </c>
    </row>
    <row r="18" spans="1:8" s="227" customFormat="1" ht="17.399999999999999" customHeight="1" x14ac:dyDescent="0.4">
      <c r="A18" s="221">
        <v>2026</v>
      </c>
      <c r="B18" s="229" t="s">
        <v>261</v>
      </c>
      <c r="C18" s="231">
        <v>148383</v>
      </c>
      <c r="D18" s="232">
        <v>59558</v>
      </c>
      <c r="E18" s="237">
        <v>88825</v>
      </c>
      <c r="F18" s="237">
        <v>1247</v>
      </c>
      <c r="G18" s="231">
        <v>87578</v>
      </c>
      <c r="H18" s="228"/>
    </row>
    <row r="19" spans="1:8" ht="17.399999999999999" customHeight="1" x14ac:dyDescent="0.4">
      <c r="A19" s="284" t="s">
        <v>257</v>
      </c>
      <c r="B19" s="281"/>
      <c r="C19" s="233">
        <f>C18-C16</f>
        <v>-71</v>
      </c>
      <c r="D19" s="233">
        <f t="shared" ref="D19:G19" si="7">D18-D16</f>
        <v>22828</v>
      </c>
      <c r="E19" s="233">
        <f t="shared" si="7"/>
        <v>-22899</v>
      </c>
      <c r="F19" s="233">
        <f t="shared" si="7"/>
        <v>386</v>
      </c>
      <c r="G19" s="233">
        <f t="shared" si="7"/>
        <v>-23285</v>
      </c>
    </row>
    <row r="21" spans="1:8" ht="17.399999999999999" customHeight="1" x14ac:dyDescent="0.4">
      <c r="A21" s="284" t="s">
        <v>258</v>
      </c>
      <c r="B21" s="281"/>
      <c r="C21" s="234">
        <f>C18-C3</f>
        <v>12994</v>
      </c>
      <c r="D21" s="234">
        <f t="shared" ref="D21:G21" si="8">D18-D3</f>
        <v>-1022</v>
      </c>
      <c r="E21" s="234">
        <f t="shared" si="8"/>
        <v>14016</v>
      </c>
      <c r="F21" s="234">
        <f t="shared" si="8"/>
        <v>207</v>
      </c>
      <c r="G21" s="234">
        <f t="shared" si="8"/>
        <v>13809</v>
      </c>
    </row>
    <row r="22" spans="1:8" ht="17.399999999999999" customHeight="1" x14ac:dyDescent="0.4">
      <c r="A22" s="284" t="s">
        <v>259</v>
      </c>
      <c r="B22" s="281"/>
      <c r="C22" s="234">
        <f>C18-C6</f>
        <v>8854</v>
      </c>
      <c r="D22" s="234">
        <f t="shared" ref="D22:G22" si="9">D18-D6</f>
        <v>2031</v>
      </c>
      <c r="E22" s="234">
        <f t="shared" si="9"/>
        <v>6823</v>
      </c>
      <c r="F22" s="234">
        <f t="shared" si="9"/>
        <v>-275</v>
      </c>
      <c r="G22" s="234">
        <f t="shared" si="9"/>
        <v>7098</v>
      </c>
    </row>
  </sheetData>
  <mergeCells count="11">
    <mergeCell ref="A15:B15"/>
    <mergeCell ref="A17:B17"/>
    <mergeCell ref="A19:B19"/>
    <mergeCell ref="A21:B21"/>
    <mergeCell ref="A22:B22"/>
    <mergeCell ref="A13:B13"/>
    <mergeCell ref="A1:G1"/>
    <mergeCell ref="A5:B5"/>
    <mergeCell ref="A7:B7"/>
    <mergeCell ref="A9:B9"/>
    <mergeCell ref="A11:B11"/>
  </mergeCells>
  <phoneticPr fontId="3" type="noConversion"/>
  <pageMargins left="0.25" right="0.25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6BB3-0223-44FC-A301-B0BE3A9386FF}">
  <dimension ref="A1:V49"/>
  <sheetViews>
    <sheetView tabSelected="1" zoomScale="85" zoomScaleNormal="85" workbookViewId="0">
      <selection activeCell="Z14" sqref="Z14"/>
    </sheetView>
  </sheetViews>
  <sheetFormatPr defaultColWidth="6.3984375" defaultRowHeight="17.399999999999999" customHeight="1" x14ac:dyDescent="0.4"/>
  <cols>
    <col min="1" max="1" width="5.09765625" style="28" customWidth="1"/>
    <col min="2" max="2" width="5.296875" style="28" customWidth="1"/>
    <col min="3" max="4" width="6.19921875" style="29" customWidth="1"/>
    <col min="5" max="5" width="6.19921875" style="28" customWidth="1"/>
    <col min="6" max="6" width="6.19921875" style="29" customWidth="1"/>
    <col min="7" max="7" width="6.19921875" style="28" customWidth="1"/>
    <col min="8" max="8" width="6.19921875" style="29" customWidth="1"/>
    <col min="9" max="9" width="6.19921875" style="28" customWidth="1"/>
    <col min="10" max="10" width="6.19921875" style="29" customWidth="1"/>
    <col min="11" max="11" width="6.19921875" style="28" customWidth="1"/>
    <col min="12" max="12" width="6.19921875" style="29" customWidth="1"/>
    <col min="13" max="13" width="6.19921875" style="28" customWidth="1"/>
    <col min="14" max="14" width="6.19921875" style="29" customWidth="1"/>
    <col min="15" max="15" width="6.19921875" style="28" customWidth="1"/>
    <col min="16" max="16" width="6.19921875" style="29" customWidth="1"/>
    <col min="17" max="17" width="6.19921875" style="28" customWidth="1"/>
    <col min="18" max="18" width="6.19921875" style="29" customWidth="1"/>
    <col min="19" max="19" width="6.19921875" style="28" customWidth="1"/>
    <col min="20" max="20" width="2.09765625" style="28" customWidth="1"/>
    <col min="21" max="22" width="6.19921875" style="28" customWidth="1"/>
    <col min="23" max="16384" width="6.3984375" style="28"/>
  </cols>
  <sheetData>
    <row r="1" spans="1:22" ht="17.399999999999999" customHeight="1" x14ac:dyDescent="0.4">
      <c r="A1" s="300" t="s">
        <v>240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</row>
    <row r="2" spans="1:22" ht="17.399999999999999" customHeight="1" x14ac:dyDescent="0.4">
      <c r="A2" s="300"/>
      <c r="B2" s="300"/>
      <c r="C2" s="300" t="s">
        <v>193</v>
      </c>
      <c r="D2" s="300" t="s">
        <v>194</v>
      </c>
      <c r="E2" s="303" t="s">
        <v>203</v>
      </c>
      <c r="F2" s="300">
        <v>2018.05</v>
      </c>
      <c r="G2" s="303" t="s">
        <v>204</v>
      </c>
      <c r="H2" s="300" t="s">
        <v>196</v>
      </c>
      <c r="I2" s="303" t="s">
        <v>205</v>
      </c>
      <c r="J2" s="300" t="s">
        <v>197</v>
      </c>
      <c r="K2" s="303" t="s">
        <v>206</v>
      </c>
      <c r="L2" s="300" t="s">
        <v>198</v>
      </c>
      <c r="M2" s="303" t="s">
        <v>207</v>
      </c>
      <c r="N2" s="300" t="s">
        <v>200</v>
      </c>
      <c r="O2" s="303" t="s">
        <v>208</v>
      </c>
      <c r="P2" s="300" t="s">
        <v>201</v>
      </c>
      <c r="Q2" s="303" t="s">
        <v>209</v>
      </c>
      <c r="R2" s="300" t="s">
        <v>202</v>
      </c>
      <c r="S2" s="303" t="s">
        <v>210</v>
      </c>
      <c r="U2" s="280" t="s">
        <v>211</v>
      </c>
      <c r="V2" s="280" t="s">
        <v>212</v>
      </c>
    </row>
    <row r="3" spans="1:22" ht="17.399999999999999" customHeight="1" x14ac:dyDescent="0.4">
      <c r="A3" s="300"/>
      <c r="B3" s="300"/>
      <c r="C3" s="300"/>
      <c r="D3" s="300"/>
      <c r="E3" s="303"/>
      <c r="F3" s="300"/>
      <c r="G3" s="303"/>
      <c r="H3" s="300"/>
      <c r="I3" s="303"/>
      <c r="J3" s="300"/>
      <c r="K3" s="303"/>
      <c r="L3" s="300"/>
      <c r="M3" s="303"/>
      <c r="N3" s="300"/>
      <c r="O3" s="303"/>
      <c r="P3" s="300"/>
      <c r="Q3" s="303"/>
      <c r="R3" s="300"/>
      <c r="S3" s="303"/>
      <c r="U3" s="280"/>
      <c r="V3" s="280"/>
    </row>
    <row r="4" spans="1:22" s="209" customFormat="1" ht="30.6" customHeight="1" thickBot="1" x14ac:dyDescent="0.45">
      <c r="A4" s="302"/>
      <c r="B4" s="302"/>
      <c r="C4" s="241" t="s">
        <v>245</v>
      </c>
      <c r="D4" s="241" t="s">
        <v>246</v>
      </c>
      <c r="E4" s="220" t="s">
        <v>238</v>
      </c>
      <c r="F4" s="241" t="s">
        <v>286</v>
      </c>
      <c r="G4" s="220" t="s">
        <v>238</v>
      </c>
      <c r="H4" s="241" t="s">
        <v>247</v>
      </c>
      <c r="I4" s="220" t="s">
        <v>238</v>
      </c>
      <c r="J4" s="241" t="s">
        <v>248</v>
      </c>
      <c r="K4" s="220" t="s">
        <v>238</v>
      </c>
      <c r="L4" s="241" t="s">
        <v>287</v>
      </c>
      <c r="M4" s="220" t="s">
        <v>238</v>
      </c>
      <c r="N4" s="241" t="s">
        <v>249</v>
      </c>
      <c r="O4" s="220" t="s">
        <v>238</v>
      </c>
      <c r="P4" s="241" t="s">
        <v>260</v>
      </c>
      <c r="Q4" s="220" t="s">
        <v>238</v>
      </c>
      <c r="R4" s="241" t="s">
        <v>288</v>
      </c>
      <c r="S4" s="220" t="s">
        <v>238</v>
      </c>
      <c r="U4" s="243" t="s">
        <v>238</v>
      </c>
      <c r="V4" s="243" t="s">
        <v>238</v>
      </c>
    </row>
    <row r="5" spans="1:22" s="29" customFormat="1" ht="17.399999999999999" customHeight="1" x14ac:dyDescent="0.4">
      <c r="A5" s="304" t="s">
        <v>264</v>
      </c>
      <c r="B5" s="251" t="s">
        <v>241</v>
      </c>
      <c r="C5" s="253">
        <v>12235</v>
      </c>
      <c r="D5" s="254">
        <v>11198</v>
      </c>
      <c r="E5" s="255">
        <f>D5-C5</f>
        <v>-1037</v>
      </c>
      <c r="F5" s="254">
        <v>11749</v>
      </c>
      <c r="G5" s="255">
        <f>F5-D5</f>
        <v>551</v>
      </c>
      <c r="H5" s="253">
        <v>11618</v>
      </c>
      <c r="I5" s="255">
        <f>H5-F5</f>
        <v>-131</v>
      </c>
      <c r="J5" s="254">
        <v>11017</v>
      </c>
      <c r="K5" s="255">
        <f>J5-H5</f>
        <v>-601</v>
      </c>
      <c r="L5" s="254">
        <v>11443</v>
      </c>
      <c r="M5" s="255">
        <f>L5-J5</f>
        <v>426</v>
      </c>
      <c r="N5" s="253">
        <v>11289</v>
      </c>
      <c r="O5" s="255">
        <f>N5-L5</f>
        <v>-154</v>
      </c>
      <c r="P5" s="254">
        <v>10871</v>
      </c>
      <c r="Q5" s="255">
        <f>P5-N5</f>
        <v>-418</v>
      </c>
      <c r="R5" s="253">
        <v>10344</v>
      </c>
      <c r="S5" s="256">
        <f>R5-P5</f>
        <v>-527</v>
      </c>
      <c r="U5" s="162">
        <f>R5-C5</f>
        <v>-1891</v>
      </c>
      <c r="V5" s="162">
        <f>R5-F5</f>
        <v>-1405</v>
      </c>
    </row>
    <row r="6" spans="1:22" ht="17.399999999999999" customHeight="1" x14ac:dyDescent="0.4">
      <c r="A6" s="305"/>
      <c r="B6" s="226" t="s">
        <v>3</v>
      </c>
      <c r="C6" s="231">
        <v>6441</v>
      </c>
      <c r="D6" s="232">
        <v>7724</v>
      </c>
      <c r="E6" s="70">
        <f t="shared" ref="E6:E49" si="0">D6-C6</f>
        <v>1283</v>
      </c>
      <c r="F6" s="232">
        <v>6392</v>
      </c>
      <c r="G6" s="70">
        <f t="shared" ref="G6:G49" si="1">F6-D6</f>
        <v>-1332</v>
      </c>
      <c r="H6" s="232">
        <v>7032</v>
      </c>
      <c r="I6" s="70">
        <f t="shared" ref="I6:I49" si="2">H6-F6</f>
        <v>640</v>
      </c>
      <c r="J6" s="232">
        <v>7923</v>
      </c>
      <c r="K6" s="70">
        <f t="shared" ref="K6:K49" si="3">J6-H6</f>
        <v>891</v>
      </c>
      <c r="L6" s="231">
        <v>4973</v>
      </c>
      <c r="M6" s="70">
        <f t="shared" ref="M6:M49" si="4">L6-J6</f>
        <v>-2950</v>
      </c>
      <c r="N6" s="231">
        <v>6992</v>
      </c>
      <c r="O6" s="70">
        <f t="shared" ref="O6:O49" si="5">N6-L6</f>
        <v>2019</v>
      </c>
      <c r="P6" s="232">
        <v>7947</v>
      </c>
      <c r="Q6" s="70">
        <f t="shared" ref="Q6:Q49" si="6">P6-N6</f>
        <v>955</v>
      </c>
      <c r="R6" s="231">
        <v>5730</v>
      </c>
      <c r="S6" s="257">
        <f t="shared" ref="S6:S49" si="7">R6-P6</f>
        <v>-2217</v>
      </c>
      <c r="U6" s="70">
        <f t="shared" ref="U6:U49" si="8">R6-C6</f>
        <v>-711</v>
      </c>
      <c r="V6" s="70">
        <f t="shared" ref="V6:V49" si="9">R6-F6</f>
        <v>-662</v>
      </c>
    </row>
    <row r="7" spans="1:22" ht="17.399999999999999" customHeight="1" thickBot="1" x14ac:dyDescent="0.45">
      <c r="A7" s="306"/>
      <c r="B7" s="252" t="s">
        <v>130</v>
      </c>
      <c r="C7" s="258">
        <v>6348</v>
      </c>
      <c r="D7" s="259">
        <v>7690</v>
      </c>
      <c r="E7" s="260">
        <f t="shared" si="0"/>
        <v>1342</v>
      </c>
      <c r="F7" s="258">
        <v>6283</v>
      </c>
      <c r="G7" s="260">
        <f t="shared" si="1"/>
        <v>-1407</v>
      </c>
      <c r="H7" s="258">
        <v>6945</v>
      </c>
      <c r="I7" s="260">
        <f t="shared" si="2"/>
        <v>662</v>
      </c>
      <c r="J7" s="259">
        <v>7854</v>
      </c>
      <c r="K7" s="260">
        <f t="shared" si="3"/>
        <v>909</v>
      </c>
      <c r="L7" s="259">
        <v>4895</v>
      </c>
      <c r="M7" s="260">
        <f t="shared" si="4"/>
        <v>-2959</v>
      </c>
      <c r="N7" s="258">
        <v>6923</v>
      </c>
      <c r="O7" s="260">
        <f t="shared" si="5"/>
        <v>2028</v>
      </c>
      <c r="P7" s="259">
        <v>7899</v>
      </c>
      <c r="Q7" s="260">
        <f t="shared" si="6"/>
        <v>976</v>
      </c>
      <c r="R7" s="258">
        <v>5618</v>
      </c>
      <c r="S7" s="261">
        <f t="shared" si="7"/>
        <v>-2281</v>
      </c>
      <c r="U7" s="70">
        <f t="shared" si="8"/>
        <v>-730</v>
      </c>
      <c r="V7" s="70">
        <f t="shared" si="9"/>
        <v>-665</v>
      </c>
    </row>
    <row r="8" spans="1:22" s="29" customFormat="1" ht="17.399999999999999" customHeight="1" x14ac:dyDescent="0.4">
      <c r="A8" s="304" t="s">
        <v>265</v>
      </c>
      <c r="B8" s="251" t="s">
        <v>241</v>
      </c>
      <c r="C8" s="253">
        <v>6058</v>
      </c>
      <c r="D8" s="254">
        <v>6027</v>
      </c>
      <c r="E8" s="255">
        <f t="shared" si="0"/>
        <v>-31</v>
      </c>
      <c r="F8" s="254">
        <v>10123</v>
      </c>
      <c r="G8" s="255">
        <f t="shared" si="1"/>
        <v>4096</v>
      </c>
      <c r="H8" s="254">
        <v>6200</v>
      </c>
      <c r="I8" s="255">
        <f t="shared" si="2"/>
        <v>-3923</v>
      </c>
      <c r="J8" s="254">
        <v>6234</v>
      </c>
      <c r="K8" s="255">
        <f t="shared" si="3"/>
        <v>34</v>
      </c>
      <c r="L8" s="254">
        <v>6027</v>
      </c>
      <c r="M8" s="255">
        <f t="shared" si="4"/>
        <v>-207</v>
      </c>
      <c r="N8" s="254">
        <v>6148</v>
      </c>
      <c r="O8" s="255">
        <f t="shared" si="5"/>
        <v>121</v>
      </c>
      <c r="P8" s="254">
        <v>6106</v>
      </c>
      <c r="Q8" s="255">
        <f t="shared" si="6"/>
        <v>-42</v>
      </c>
      <c r="R8" s="254">
        <v>5911</v>
      </c>
      <c r="S8" s="256">
        <f t="shared" si="7"/>
        <v>-195</v>
      </c>
      <c r="U8" s="162">
        <f t="shared" si="8"/>
        <v>-147</v>
      </c>
      <c r="V8" s="162">
        <f t="shared" si="9"/>
        <v>-4212</v>
      </c>
    </row>
    <row r="9" spans="1:22" ht="17.399999999999999" customHeight="1" x14ac:dyDescent="0.4">
      <c r="A9" s="305"/>
      <c r="B9" s="226" t="s">
        <v>3</v>
      </c>
      <c r="C9" s="232">
        <v>3278</v>
      </c>
      <c r="D9" s="232">
        <v>4222</v>
      </c>
      <c r="E9" s="70">
        <f t="shared" si="0"/>
        <v>944</v>
      </c>
      <c r="F9" s="231">
        <v>4770</v>
      </c>
      <c r="G9" s="70">
        <f t="shared" si="1"/>
        <v>548</v>
      </c>
      <c r="H9" s="232">
        <v>3939</v>
      </c>
      <c r="I9" s="70">
        <f t="shared" si="2"/>
        <v>-831</v>
      </c>
      <c r="J9" s="232">
        <v>4668</v>
      </c>
      <c r="K9" s="70">
        <f t="shared" si="3"/>
        <v>729</v>
      </c>
      <c r="L9" s="232">
        <v>3103</v>
      </c>
      <c r="M9" s="70">
        <f t="shared" si="4"/>
        <v>-1565</v>
      </c>
      <c r="N9" s="231">
        <v>4202</v>
      </c>
      <c r="O9" s="70">
        <f t="shared" si="5"/>
        <v>1099</v>
      </c>
      <c r="P9" s="231">
        <v>4495</v>
      </c>
      <c r="Q9" s="70">
        <f t="shared" si="6"/>
        <v>293</v>
      </c>
      <c r="R9" s="231">
        <v>3684</v>
      </c>
      <c r="S9" s="257">
        <f t="shared" si="7"/>
        <v>-811</v>
      </c>
      <c r="U9" s="70">
        <f t="shared" si="8"/>
        <v>406</v>
      </c>
      <c r="V9" s="70">
        <f t="shared" si="9"/>
        <v>-1086</v>
      </c>
    </row>
    <row r="10" spans="1:22" ht="17.399999999999999" customHeight="1" thickBot="1" x14ac:dyDescent="0.45">
      <c r="A10" s="306"/>
      <c r="B10" s="252" t="s">
        <v>130</v>
      </c>
      <c r="C10" s="258">
        <v>3236</v>
      </c>
      <c r="D10" s="259">
        <v>4201</v>
      </c>
      <c r="E10" s="260">
        <f t="shared" si="0"/>
        <v>965</v>
      </c>
      <c r="F10" s="258">
        <v>4687</v>
      </c>
      <c r="G10" s="260">
        <f t="shared" si="1"/>
        <v>486</v>
      </c>
      <c r="H10" s="258">
        <v>3894</v>
      </c>
      <c r="I10" s="260">
        <f t="shared" si="2"/>
        <v>-793</v>
      </c>
      <c r="J10" s="258">
        <v>4633</v>
      </c>
      <c r="K10" s="260">
        <f t="shared" si="3"/>
        <v>739</v>
      </c>
      <c r="L10" s="258">
        <v>3037</v>
      </c>
      <c r="M10" s="260">
        <f t="shared" si="4"/>
        <v>-1596</v>
      </c>
      <c r="N10" s="258">
        <v>4159</v>
      </c>
      <c r="O10" s="260">
        <f t="shared" si="5"/>
        <v>1122</v>
      </c>
      <c r="P10" s="259">
        <v>4469</v>
      </c>
      <c r="Q10" s="260">
        <f t="shared" si="6"/>
        <v>310</v>
      </c>
      <c r="R10" s="258">
        <v>3630</v>
      </c>
      <c r="S10" s="261">
        <f t="shared" si="7"/>
        <v>-839</v>
      </c>
      <c r="U10" s="70">
        <f t="shared" si="8"/>
        <v>394</v>
      </c>
      <c r="V10" s="70">
        <f t="shared" si="9"/>
        <v>-1057</v>
      </c>
    </row>
    <row r="11" spans="1:22" s="29" customFormat="1" ht="17.399999999999999" customHeight="1" x14ac:dyDescent="0.4">
      <c r="A11" s="304" t="s">
        <v>277</v>
      </c>
      <c r="B11" s="251" t="s">
        <v>241</v>
      </c>
      <c r="C11" s="254">
        <v>5069</v>
      </c>
      <c r="D11" s="254">
        <v>4872</v>
      </c>
      <c r="E11" s="255">
        <f t="shared" si="0"/>
        <v>-197</v>
      </c>
      <c r="F11" s="254">
        <v>4853</v>
      </c>
      <c r="G11" s="255">
        <f t="shared" si="1"/>
        <v>-19</v>
      </c>
      <c r="H11" s="254">
        <v>4885</v>
      </c>
      <c r="I11" s="255">
        <f t="shared" si="2"/>
        <v>32</v>
      </c>
      <c r="J11" s="254">
        <v>4614</v>
      </c>
      <c r="K11" s="255">
        <f t="shared" si="3"/>
        <v>-271</v>
      </c>
      <c r="L11" s="253">
        <v>4713</v>
      </c>
      <c r="M11" s="255">
        <f t="shared" si="4"/>
        <v>99</v>
      </c>
      <c r="N11" s="254">
        <v>4606</v>
      </c>
      <c r="O11" s="255">
        <f t="shared" si="5"/>
        <v>-107</v>
      </c>
      <c r="P11" s="254">
        <v>4524</v>
      </c>
      <c r="Q11" s="255">
        <f t="shared" si="6"/>
        <v>-82</v>
      </c>
      <c r="R11" s="254">
        <v>4473</v>
      </c>
      <c r="S11" s="256">
        <f t="shared" si="7"/>
        <v>-51</v>
      </c>
      <c r="U11" s="162">
        <f t="shared" si="8"/>
        <v>-596</v>
      </c>
      <c r="V11" s="162">
        <f t="shared" si="9"/>
        <v>-380</v>
      </c>
    </row>
    <row r="12" spans="1:22" ht="17.399999999999999" customHeight="1" x14ac:dyDescent="0.4">
      <c r="A12" s="305"/>
      <c r="B12" s="226" t="s">
        <v>3</v>
      </c>
      <c r="C12" s="232">
        <v>2629</v>
      </c>
      <c r="D12" s="232">
        <v>3179</v>
      </c>
      <c r="E12" s="70">
        <f t="shared" si="0"/>
        <v>550</v>
      </c>
      <c r="F12" s="232">
        <v>2560</v>
      </c>
      <c r="G12" s="70">
        <f t="shared" si="1"/>
        <v>-619</v>
      </c>
      <c r="H12" s="232">
        <v>2957</v>
      </c>
      <c r="I12" s="70">
        <f t="shared" si="2"/>
        <v>397</v>
      </c>
      <c r="J12" s="231">
        <v>3312</v>
      </c>
      <c r="K12" s="70">
        <f t="shared" si="3"/>
        <v>355</v>
      </c>
      <c r="L12" s="231">
        <v>2343</v>
      </c>
      <c r="M12" s="70">
        <f t="shared" si="4"/>
        <v>-969</v>
      </c>
      <c r="N12" s="231">
        <v>3091</v>
      </c>
      <c r="O12" s="70">
        <f t="shared" si="5"/>
        <v>748</v>
      </c>
      <c r="P12" s="232">
        <v>3141</v>
      </c>
      <c r="Q12" s="70">
        <f t="shared" si="6"/>
        <v>50</v>
      </c>
      <c r="R12" s="232">
        <v>2668</v>
      </c>
      <c r="S12" s="257">
        <f t="shared" si="7"/>
        <v>-473</v>
      </c>
      <c r="U12" s="70">
        <f t="shared" si="8"/>
        <v>39</v>
      </c>
      <c r="V12" s="70">
        <f t="shared" si="9"/>
        <v>108</v>
      </c>
    </row>
    <row r="13" spans="1:22" ht="17.399999999999999" customHeight="1" thickBot="1" x14ac:dyDescent="0.45">
      <c r="A13" s="306"/>
      <c r="B13" s="252" t="s">
        <v>130</v>
      </c>
      <c r="C13" s="258">
        <v>2581</v>
      </c>
      <c r="D13" s="258">
        <v>3162</v>
      </c>
      <c r="E13" s="260">
        <f t="shared" si="0"/>
        <v>581</v>
      </c>
      <c r="F13" s="258">
        <v>2482</v>
      </c>
      <c r="G13" s="260">
        <f t="shared" si="1"/>
        <v>-680</v>
      </c>
      <c r="H13" s="258">
        <v>2908</v>
      </c>
      <c r="I13" s="260">
        <f t="shared" si="2"/>
        <v>426</v>
      </c>
      <c r="J13" s="258">
        <v>3277</v>
      </c>
      <c r="K13" s="260">
        <f t="shared" si="3"/>
        <v>369</v>
      </c>
      <c r="L13" s="258">
        <v>2285</v>
      </c>
      <c r="M13" s="260">
        <f t="shared" si="4"/>
        <v>-992</v>
      </c>
      <c r="N13" s="258">
        <v>3041</v>
      </c>
      <c r="O13" s="260">
        <f t="shared" si="5"/>
        <v>756</v>
      </c>
      <c r="P13" s="259">
        <v>3121</v>
      </c>
      <c r="Q13" s="260">
        <f t="shared" si="6"/>
        <v>80</v>
      </c>
      <c r="R13" s="258">
        <v>2620</v>
      </c>
      <c r="S13" s="261">
        <f t="shared" si="7"/>
        <v>-501</v>
      </c>
      <c r="U13" s="70">
        <f t="shared" si="8"/>
        <v>39</v>
      </c>
      <c r="V13" s="70">
        <f t="shared" si="9"/>
        <v>138</v>
      </c>
    </row>
    <row r="14" spans="1:22" s="29" customFormat="1" ht="17.399999999999999" customHeight="1" x14ac:dyDescent="0.4">
      <c r="A14" s="304" t="s">
        <v>278</v>
      </c>
      <c r="B14" s="251" t="s">
        <v>241</v>
      </c>
      <c r="C14" s="253">
        <v>3095</v>
      </c>
      <c r="D14" s="254">
        <v>2986</v>
      </c>
      <c r="E14" s="255">
        <f t="shared" si="0"/>
        <v>-109</v>
      </c>
      <c r="F14" s="254">
        <v>3011</v>
      </c>
      <c r="G14" s="255">
        <f t="shared" si="1"/>
        <v>25</v>
      </c>
      <c r="H14" s="254">
        <v>3114</v>
      </c>
      <c r="I14" s="255">
        <f t="shared" si="2"/>
        <v>103</v>
      </c>
      <c r="J14" s="253">
        <v>2914</v>
      </c>
      <c r="K14" s="255">
        <f t="shared" si="3"/>
        <v>-200</v>
      </c>
      <c r="L14" s="254">
        <v>2962</v>
      </c>
      <c r="M14" s="255">
        <f t="shared" si="4"/>
        <v>48</v>
      </c>
      <c r="N14" s="254">
        <v>2956</v>
      </c>
      <c r="O14" s="255">
        <f t="shared" si="5"/>
        <v>-6</v>
      </c>
      <c r="P14" s="254">
        <v>2907</v>
      </c>
      <c r="Q14" s="255">
        <f t="shared" si="6"/>
        <v>-49</v>
      </c>
      <c r="R14" s="254">
        <v>2870</v>
      </c>
      <c r="S14" s="256">
        <f t="shared" si="7"/>
        <v>-37</v>
      </c>
      <c r="U14" s="162">
        <f t="shared" si="8"/>
        <v>-225</v>
      </c>
      <c r="V14" s="162">
        <f t="shared" si="9"/>
        <v>-141</v>
      </c>
    </row>
    <row r="15" spans="1:22" ht="17.399999999999999" customHeight="1" x14ac:dyDescent="0.4">
      <c r="A15" s="305"/>
      <c r="B15" s="226" t="s">
        <v>3</v>
      </c>
      <c r="C15" s="231">
        <v>1803</v>
      </c>
      <c r="D15" s="232">
        <v>2048</v>
      </c>
      <c r="E15" s="70">
        <f t="shared" si="0"/>
        <v>245</v>
      </c>
      <c r="F15" s="232">
        <v>1850</v>
      </c>
      <c r="G15" s="70">
        <f t="shared" si="1"/>
        <v>-198</v>
      </c>
      <c r="H15" s="232">
        <v>2042</v>
      </c>
      <c r="I15" s="70">
        <f t="shared" si="2"/>
        <v>192</v>
      </c>
      <c r="J15" s="231">
        <v>2228</v>
      </c>
      <c r="K15" s="70">
        <f t="shared" si="3"/>
        <v>186</v>
      </c>
      <c r="L15" s="231">
        <v>1701</v>
      </c>
      <c r="M15" s="70">
        <f t="shared" si="4"/>
        <v>-527</v>
      </c>
      <c r="N15" s="232">
        <v>2136</v>
      </c>
      <c r="O15" s="70">
        <f t="shared" si="5"/>
        <v>435</v>
      </c>
      <c r="P15" s="232">
        <v>2172</v>
      </c>
      <c r="Q15" s="70">
        <f t="shared" si="6"/>
        <v>36</v>
      </c>
      <c r="R15" s="232">
        <v>1851</v>
      </c>
      <c r="S15" s="257">
        <f t="shared" si="7"/>
        <v>-321</v>
      </c>
      <c r="U15" s="70">
        <f t="shared" si="8"/>
        <v>48</v>
      </c>
      <c r="V15" s="70">
        <f t="shared" si="9"/>
        <v>1</v>
      </c>
    </row>
    <row r="16" spans="1:22" ht="17.399999999999999" customHeight="1" thickBot="1" x14ac:dyDescent="0.45">
      <c r="A16" s="306"/>
      <c r="B16" s="252" t="s">
        <v>130</v>
      </c>
      <c r="C16" s="258">
        <v>1768</v>
      </c>
      <c r="D16" s="258">
        <v>2036</v>
      </c>
      <c r="E16" s="260">
        <f t="shared" si="0"/>
        <v>268</v>
      </c>
      <c r="F16" s="258">
        <v>1796</v>
      </c>
      <c r="G16" s="260">
        <f t="shared" si="1"/>
        <v>-240</v>
      </c>
      <c r="H16" s="258">
        <v>2008</v>
      </c>
      <c r="I16" s="260">
        <f t="shared" si="2"/>
        <v>212</v>
      </c>
      <c r="J16" s="259">
        <v>2207</v>
      </c>
      <c r="K16" s="260">
        <f t="shared" si="3"/>
        <v>199</v>
      </c>
      <c r="L16" s="258">
        <v>1640</v>
      </c>
      <c r="M16" s="260">
        <f t="shared" si="4"/>
        <v>-567</v>
      </c>
      <c r="N16" s="259">
        <v>2106</v>
      </c>
      <c r="O16" s="260">
        <f t="shared" si="5"/>
        <v>466</v>
      </c>
      <c r="P16" s="258">
        <v>2159</v>
      </c>
      <c r="Q16" s="260">
        <f t="shared" si="6"/>
        <v>53</v>
      </c>
      <c r="R16" s="259">
        <v>1799</v>
      </c>
      <c r="S16" s="261">
        <f t="shared" si="7"/>
        <v>-360</v>
      </c>
      <c r="U16" s="70">
        <f t="shared" si="8"/>
        <v>31</v>
      </c>
      <c r="V16" s="70">
        <f t="shared" si="9"/>
        <v>3</v>
      </c>
    </row>
    <row r="17" spans="1:22" s="29" customFormat="1" ht="17.399999999999999" customHeight="1" x14ac:dyDescent="0.4">
      <c r="A17" s="304" t="s">
        <v>279</v>
      </c>
      <c r="B17" s="251" t="s">
        <v>241</v>
      </c>
      <c r="C17" s="254">
        <v>7065</v>
      </c>
      <c r="D17" s="254">
        <v>6649</v>
      </c>
      <c r="E17" s="255">
        <f t="shared" si="0"/>
        <v>-416</v>
      </c>
      <c r="F17" s="253">
        <v>6540</v>
      </c>
      <c r="G17" s="255">
        <f t="shared" si="1"/>
        <v>-109</v>
      </c>
      <c r="H17" s="254">
        <v>6621</v>
      </c>
      <c r="I17" s="255">
        <f t="shared" si="2"/>
        <v>81</v>
      </c>
      <c r="J17" s="254">
        <v>6458</v>
      </c>
      <c r="K17" s="255">
        <f t="shared" si="3"/>
        <v>-163</v>
      </c>
      <c r="L17" s="254">
        <v>6646</v>
      </c>
      <c r="M17" s="255">
        <f t="shared" si="4"/>
        <v>188</v>
      </c>
      <c r="N17" s="254">
        <v>6467</v>
      </c>
      <c r="O17" s="255">
        <f t="shared" si="5"/>
        <v>-179</v>
      </c>
      <c r="P17" s="254">
        <v>6408</v>
      </c>
      <c r="Q17" s="255">
        <f t="shared" si="6"/>
        <v>-59</v>
      </c>
      <c r="R17" s="254">
        <v>6257</v>
      </c>
      <c r="S17" s="256">
        <f t="shared" si="7"/>
        <v>-151</v>
      </c>
      <c r="U17" s="162">
        <f t="shared" si="8"/>
        <v>-808</v>
      </c>
      <c r="V17" s="162">
        <f t="shared" si="9"/>
        <v>-283</v>
      </c>
    </row>
    <row r="18" spans="1:22" ht="17.399999999999999" customHeight="1" x14ac:dyDescent="0.4">
      <c r="A18" s="305"/>
      <c r="B18" s="226" t="s">
        <v>3</v>
      </c>
      <c r="C18" s="231">
        <v>3590</v>
      </c>
      <c r="D18" s="232">
        <v>4535</v>
      </c>
      <c r="E18" s="70">
        <f t="shared" si="0"/>
        <v>945</v>
      </c>
      <c r="F18" s="232">
        <v>3539</v>
      </c>
      <c r="G18" s="70">
        <f t="shared" si="1"/>
        <v>-996</v>
      </c>
      <c r="H18" s="232">
        <v>3878</v>
      </c>
      <c r="I18" s="70">
        <f t="shared" si="2"/>
        <v>339</v>
      </c>
      <c r="J18" s="232">
        <v>4524</v>
      </c>
      <c r="K18" s="70">
        <f t="shared" si="3"/>
        <v>646</v>
      </c>
      <c r="L18" s="232">
        <v>3008</v>
      </c>
      <c r="M18" s="70">
        <f t="shared" si="4"/>
        <v>-1516</v>
      </c>
      <c r="N18" s="232">
        <v>4118</v>
      </c>
      <c r="O18" s="70">
        <f t="shared" si="5"/>
        <v>1110</v>
      </c>
      <c r="P18" s="232">
        <v>4695</v>
      </c>
      <c r="Q18" s="70">
        <f t="shared" si="6"/>
        <v>577</v>
      </c>
      <c r="R18" s="232">
        <v>3570</v>
      </c>
      <c r="S18" s="257">
        <f t="shared" si="7"/>
        <v>-1125</v>
      </c>
      <c r="U18" s="70">
        <f t="shared" si="8"/>
        <v>-20</v>
      </c>
      <c r="V18" s="70">
        <f t="shared" si="9"/>
        <v>31</v>
      </c>
    </row>
    <row r="19" spans="1:22" ht="17.399999999999999" customHeight="1" thickBot="1" x14ac:dyDescent="0.45">
      <c r="A19" s="306"/>
      <c r="B19" s="252" t="s">
        <v>130</v>
      </c>
      <c r="C19" s="258">
        <v>3541</v>
      </c>
      <c r="D19" s="259">
        <v>4511</v>
      </c>
      <c r="E19" s="260">
        <f t="shared" si="0"/>
        <v>970</v>
      </c>
      <c r="F19" s="258">
        <v>3463</v>
      </c>
      <c r="G19" s="260">
        <f t="shared" si="1"/>
        <v>-1048</v>
      </c>
      <c r="H19" s="258">
        <v>3821</v>
      </c>
      <c r="I19" s="260">
        <f t="shared" si="2"/>
        <v>358</v>
      </c>
      <c r="J19" s="258">
        <v>4483</v>
      </c>
      <c r="K19" s="260">
        <f t="shared" si="3"/>
        <v>662</v>
      </c>
      <c r="L19" s="258">
        <v>2926</v>
      </c>
      <c r="M19" s="260">
        <f t="shared" si="4"/>
        <v>-1557</v>
      </c>
      <c r="N19" s="259">
        <v>4056</v>
      </c>
      <c r="O19" s="260">
        <f t="shared" si="5"/>
        <v>1130</v>
      </c>
      <c r="P19" s="259">
        <v>4660</v>
      </c>
      <c r="Q19" s="260">
        <f t="shared" si="6"/>
        <v>604</v>
      </c>
      <c r="R19" s="258">
        <v>3493</v>
      </c>
      <c r="S19" s="261">
        <f t="shared" si="7"/>
        <v>-1167</v>
      </c>
      <c r="U19" s="70">
        <f t="shared" si="8"/>
        <v>-48</v>
      </c>
      <c r="V19" s="70">
        <f t="shared" si="9"/>
        <v>30</v>
      </c>
    </row>
    <row r="20" spans="1:22" s="29" customFormat="1" ht="17.399999999999999" customHeight="1" x14ac:dyDescent="0.4">
      <c r="A20" s="304" t="s">
        <v>282</v>
      </c>
      <c r="B20" s="251" t="s">
        <v>241</v>
      </c>
      <c r="C20" s="254">
        <v>3681</v>
      </c>
      <c r="D20" s="253">
        <v>3921</v>
      </c>
      <c r="E20" s="255">
        <f t="shared" si="0"/>
        <v>240</v>
      </c>
      <c r="F20" s="254">
        <v>6110</v>
      </c>
      <c r="G20" s="255">
        <f t="shared" si="1"/>
        <v>2189</v>
      </c>
      <c r="H20" s="253">
        <v>9938</v>
      </c>
      <c r="I20" s="255">
        <f t="shared" si="2"/>
        <v>3828</v>
      </c>
      <c r="J20" s="254">
        <v>10650</v>
      </c>
      <c r="K20" s="255">
        <f t="shared" si="3"/>
        <v>712</v>
      </c>
      <c r="L20" s="253">
        <v>10969</v>
      </c>
      <c r="M20" s="255">
        <f t="shared" si="4"/>
        <v>319</v>
      </c>
      <c r="N20" s="254">
        <v>11725</v>
      </c>
      <c r="O20" s="255">
        <f t="shared" si="5"/>
        <v>756</v>
      </c>
      <c r="P20" s="254">
        <v>11700</v>
      </c>
      <c r="Q20" s="255">
        <f t="shared" si="6"/>
        <v>-25</v>
      </c>
      <c r="R20" s="254">
        <v>12092</v>
      </c>
      <c r="S20" s="256">
        <f t="shared" si="7"/>
        <v>392</v>
      </c>
      <c r="U20" s="162">
        <f t="shared" si="8"/>
        <v>8411</v>
      </c>
      <c r="V20" s="162">
        <f t="shared" si="9"/>
        <v>5982</v>
      </c>
    </row>
    <row r="21" spans="1:22" ht="17.399999999999999" customHeight="1" x14ac:dyDescent="0.4">
      <c r="A21" s="305"/>
      <c r="B21" s="226" t="s">
        <v>3</v>
      </c>
      <c r="C21" s="232">
        <v>2027</v>
      </c>
      <c r="D21" s="232">
        <v>2902</v>
      </c>
      <c r="E21" s="70">
        <f t="shared" si="0"/>
        <v>875</v>
      </c>
      <c r="F21" s="231">
        <v>3632</v>
      </c>
      <c r="G21" s="70">
        <f t="shared" si="1"/>
        <v>730</v>
      </c>
      <c r="H21" s="232">
        <v>5958</v>
      </c>
      <c r="I21" s="70">
        <f t="shared" si="2"/>
        <v>2326</v>
      </c>
      <c r="J21" s="231">
        <v>7716</v>
      </c>
      <c r="K21" s="70">
        <f t="shared" si="3"/>
        <v>1758</v>
      </c>
      <c r="L21" s="231">
        <v>4374</v>
      </c>
      <c r="M21" s="70">
        <f t="shared" si="4"/>
        <v>-3342</v>
      </c>
      <c r="N21" s="232">
        <v>7291</v>
      </c>
      <c r="O21" s="70">
        <f t="shared" si="5"/>
        <v>2917</v>
      </c>
      <c r="P21" s="231">
        <v>8791</v>
      </c>
      <c r="Q21" s="70">
        <f t="shared" si="6"/>
        <v>1500</v>
      </c>
      <c r="R21" s="232">
        <v>6566</v>
      </c>
      <c r="S21" s="257">
        <f t="shared" si="7"/>
        <v>-2225</v>
      </c>
      <c r="U21" s="70">
        <f t="shared" si="8"/>
        <v>4539</v>
      </c>
      <c r="V21" s="70">
        <f t="shared" si="9"/>
        <v>2934</v>
      </c>
    </row>
    <row r="22" spans="1:22" ht="17.399999999999999" customHeight="1" thickBot="1" x14ac:dyDescent="0.45">
      <c r="A22" s="306"/>
      <c r="B22" s="252" t="s">
        <v>130</v>
      </c>
      <c r="C22" s="258">
        <v>1997</v>
      </c>
      <c r="D22" s="258">
        <v>2888</v>
      </c>
      <c r="E22" s="260">
        <f t="shared" si="0"/>
        <v>891</v>
      </c>
      <c r="F22" s="258">
        <v>3591</v>
      </c>
      <c r="G22" s="260">
        <f t="shared" si="1"/>
        <v>703</v>
      </c>
      <c r="H22" s="258">
        <v>5904</v>
      </c>
      <c r="I22" s="260">
        <f t="shared" si="2"/>
        <v>2313</v>
      </c>
      <c r="J22" s="259">
        <v>7653</v>
      </c>
      <c r="K22" s="260">
        <f t="shared" si="3"/>
        <v>1749</v>
      </c>
      <c r="L22" s="259">
        <v>4315</v>
      </c>
      <c r="M22" s="260">
        <f t="shared" si="4"/>
        <v>-3338</v>
      </c>
      <c r="N22" s="258">
        <v>7213</v>
      </c>
      <c r="O22" s="260">
        <f t="shared" si="5"/>
        <v>2898</v>
      </c>
      <c r="P22" s="259">
        <v>8723</v>
      </c>
      <c r="Q22" s="260">
        <f t="shared" si="6"/>
        <v>1510</v>
      </c>
      <c r="R22" s="258">
        <v>6506</v>
      </c>
      <c r="S22" s="261">
        <f t="shared" si="7"/>
        <v>-2217</v>
      </c>
      <c r="U22" s="70">
        <f t="shared" si="8"/>
        <v>4509</v>
      </c>
      <c r="V22" s="70">
        <f t="shared" si="9"/>
        <v>2915</v>
      </c>
    </row>
    <row r="23" spans="1:22" s="29" customFormat="1" ht="17.399999999999999" customHeight="1" x14ac:dyDescent="0.4">
      <c r="A23" s="304" t="s">
        <v>280</v>
      </c>
      <c r="B23" s="251" t="s">
        <v>241</v>
      </c>
      <c r="C23" s="254">
        <v>8363</v>
      </c>
      <c r="D23" s="254">
        <v>7964</v>
      </c>
      <c r="E23" s="255">
        <f t="shared" si="0"/>
        <v>-399</v>
      </c>
      <c r="F23" s="254">
        <v>8051</v>
      </c>
      <c r="G23" s="255">
        <f t="shared" si="1"/>
        <v>87</v>
      </c>
      <c r="H23" s="254">
        <v>7850</v>
      </c>
      <c r="I23" s="255">
        <f t="shared" si="2"/>
        <v>-201</v>
      </c>
      <c r="J23" s="253">
        <v>7457</v>
      </c>
      <c r="K23" s="255">
        <f t="shared" si="3"/>
        <v>-393</v>
      </c>
      <c r="L23" s="254">
        <v>7774</v>
      </c>
      <c r="M23" s="255">
        <f t="shared" si="4"/>
        <v>317</v>
      </c>
      <c r="N23" s="253">
        <v>7592</v>
      </c>
      <c r="O23" s="255">
        <f t="shared" si="5"/>
        <v>-182</v>
      </c>
      <c r="P23" s="254">
        <v>7430</v>
      </c>
      <c r="Q23" s="255">
        <f t="shared" si="6"/>
        <v>-162</v>
      </c>
      <c r="R23" s="254">
        <v>7569</v>
      </c>
      <c r="S23" s="256">
        <f t="shared" si="7"/>
        <v>139</v>
      </c>
      <c r="U23" s="162">
        <f t="shared" si="8"/>
        <v>-794</v>
      </c>
      <c r="V23" s="162">
        <f t="shared" si="9"/>
        <v>-482</v>
      </c>
    </row>
    <row r="24" spans="1:22" ht="17.399999999999999" customHeight="1" x14ac:dyDescent="0.4">
      <c r="A24" s="305"/>
      <c r="B24" s="226" t="s">
        <v>3</v>
      </c>
      <c r="C24" s="231">
        <v>4317</v>
      </c>
      <c r="D24" s="232">
        <v>5369</v>
      </c>
      <c r="E24" s="70">
        <f t="shared" si="0"/>
        <v>1052</v>
      </c>
      <c r="F24" s="232">
        <v>4276</v>
      </c>
      <c r="G24" s="70">
        <f t="shared" si="1"/>
        <v>-1093</v>
      </c>
      <c r="H24" s="232">
        <v>4643</v>
      </c>
      <c r="I24" s="70">
        <f t="shared" si="2"/>
        <v>367</v>
      </c>
      <c r="J24" s="231">
        <v>5185</v>
      </c>
      <c r="K24" s="70">
        <f t="shared" si="3"/>
        <v>542</v>
      </c>
      <c r="L24" s="232">
        <v>3581</v>
      </c>
      <c r="M24" s="70">
        <f t="shared" si="4"/>
        <v>-1604</v>
      </c>
      <c r="N24" s="232">
        <v>4943</v>
      </c>
      <c r="O24" s="70">
        <f t="shared" si="5"/>
        <v>1362</v>
      </c>
      <c r="P24" s="232">
        <v>5293</v>
      </c>
      <c r="Q24" s="70">
        <f t="shared" si="6"/>
        <v>350</v>
      </c>
      <c r="R24" s="231">
        <v>4290</v>
      </c>
      <c r="S24" s="257">
        <f t="shared" si="7"/>
        <v>-1003</v>
      </c>
      <c r="U24" s="70">
        <f t="shared" si="8"/>
        <v>-27</v>
      </c>
      <c r="V24" s="70">
        <f t="shared" si="9"/>
        <v>14</v>
      </c>
    </row>
    <row r="25" spans="1:22" ht="17.399999999999999" customHeight="1" thickBot="1" x14ac:dyDescent="0.45">
      <c r="A25" s="306"/>
      <c r="B25" s="252" t="s">
        <v>130</v>
      </c>
      <c r="C25" s="258">
        <v>4243</v>
      </c>
      <c r="D25" s="258">
        <v>5344</v>
      </c>
      <c r="E25" s="260">
        <f t="shared" si="0"/>
        <v>1101</v>
      </c>
      <c r="F25" s="258">
        <v>4163</v>
      </c>
      <c r="G25" s="260">
        <f t="shared" si="1"/>
        <v>-1181</v>
      </c>
      <c r="H25" s="258">
        <v>4572</v>
      </c>
      <c r="I25" s="260">
        <f t="shared" si="2"/>
        <v>409</v>
      </c>
      <c r="J25" s="258">
        <v>5122</v>
      </c>
      <c r="K25" s="260">
        <f t="shared" si="3"/>
        <v>550</v>
      </c>
      <c r="L25" s="258">
        <v>3512</v>
      </c>
      <c r="M25" s="260">
        <f t="shared" si="4"/>
        <v>-1610</v>
      </c>
      <c r="N25" s="258">
        <v>4870</v>
      </c>
      <c r="O25" s="260">
        <f t="shared" si="5"/>
        <v>1358</v>
      </c>
      <c r="P25" s="258">
        <v>5233</v>
      </c>
      <c r="Q25" s="260">
        <f t="shared" si="6"/>
        <v>363</v>
      </c>
      <c r="R25" s="258">
        <v>4196</v>
      </c>
      <c r="S25" s="261">
        <f t="shared" si="7"/>
        <v>-1037</v>
      </c>
      <c r="U25" s="70">
        <f t="shared" si="8"/>
        <v>-47</v>
      </c>
      <c r="V25" s="70">
        <f t="shared" si="9"/>
        <v>33</v>
      </c>
    </row>
    <row r="26" spans="1:22" s="29" customFormat="1" ht="17.399999999999999" customHeight="1" x14ac:dyDescent="0.4">
      <c r="A26" s="304" t="s">
        <v>281</v>
      </c>
      <c r="B26" s="251" t="s">
        <v>241</v>
      </c>
      <c r="C26" s="254">
        <v>4998</v>
      </c>
      <c r="D26" s="254">
        <v>4677</v>
      </c>
      <c r="E26" s="255">
        <f t="shared" si="0"/>
        <v>-321</v>
      </c>
      <c r="F26" s="254">
        <v>4695</v>
      </c>
      <c r="G26" s="255">
        <f t="shared" si="1"/>
        <v>18</v>
      </c>
      <c r="H26" s="254">
        <v>4662</v>
      </c>
      <c r="I26" s="255">
        <f t="shared" si="2"/>
        <v>-33</v>
      </c>
      <c r="J26" s="254">
        <v>4355</v>
      </c>
      <c r="K26" s="255">
        <f t="shared" si="3"/>
        <v>-307</v>
      </c>
      <c r="L26" s="253">
        <v>4446</v>
      </c>
      <c r="M26" s="255">
        <f t="shared" si="4"/>
        <v>91</v>
      </c>
      <c r="N26" s="254">
        <v>4369</v>
      </c>
      <c r="O26" s="255">
        <f t="shared" si="5"/>
        <v>-77</v>
      </c>
      <c r="P26" s="253">
        <v>4267</v>
      </c>
      <c r="Q26" s="255">
        <f t="shared" si="6"/>
        <v>-102</v>
      </c>
      <c r="R26" s="254">
        <v>4342</v>
      </c>
      <c r="S26" s="256">
        <f t="shared" si="7"/>
        <v>75</v>
      </c>
      <c r="U26" s="162">
        <f t="shared" si="8"/>
        <v>-656</v>
      </c>
      <c r="V26" s="162">
        <f t="shared" si="9"/>
        <v>-353</v>
      </c>
    </row>
    <row r="27" spans="1:22" ht="17.399999999999999" customHeight="1" x14ac:dyDescent="0.4">
      <c r="A27" s="305"/>
      <c r="B27" s="226" t="s">
        <v>3</v>
      </c>
      <c r="C27" s="231">
        <v>2743</v>
      </c>
      <c r="D27" s="232">
        <v>3226</v>
      </c>
      <c r="E27" s="70">
        <f t="shared" si="0"/>
        <v>483</v>
      </c>
      <c r="F27" s="232">
        <v>2878</v>
      </c>
      <c r="G27" s="70">
        <f t="shared" si="1"/>
        <v>-348</v>
      </c>
      <c r="H27" s="232">
        <v>2996</v>
      </c>
      <c r="I27" s="70">
        <f t="shared" si="2"/>
        <v>118</v>
      </c>
      <c r="J27" s="232">
        <v>3230</v>
      </c>
      <c r="K27" s="70">
        <f t="shared" si="3"/>
        <v>234</v>
      </c>
      <c r="L27" s="232">
        <v>2574</v>
      </c>
      <c r="M27" s="70">
        <f t="shared" si="4"/>
        <v>-656</v>
      </c>
      <c r="N27" s="232">
        <v>3072</v>
      </c>
      <c r="O27" s="70">
        <f t="shared" si="5"/>
        <v>498</v>
      </c>
      <c r="P27" s="231">
        <v>3180</v>
      </c>
      <c r="Q27" s="70">
        <f t="shared" si="6"/>
        <v>108</v>
      </c>
      <c r="R27" s="232">
        <v>2753</v>
      </c>
      <c r="S27" s="257">
        <f t="shared" si="7"/>
        <v>-427</v>
      </c>
      <c r="U27" s="70">
        <f t="shared" si="8"/>
        <v>10</v>
      </c>
      <c r="V27" s="70">
        <f t="shared" si="9"/>
        <v>-125</v>
      </c>
    </row>
    <row r="28" spans="1:22" ht="17.399999999999999" customHeight="1" thickBot="1" x14ac:dyDescent="0.45">
      <c r="A28" s="306"/>
      <c r="B28" s="252" t="s">
        <v>130</v>
      </c>
      <c r="C28" s="258">
        <v>2692</v>
      </c>
      <c r="D28" s="258">
        <v>3201</v>
      </c>
      <c r="E28" s="260">
        <f t="shared" si="0"/>
        <v>509</v>
      </c>
      <c r="F28" s="258">
        <v>2752</v>
      </c>
      <c r="G28" s="260">
        <f t="shared" si="1"/>
        <v>-449</v>
      </c>
      <c r="H28" s="258">
        <v>2939</v>
      </c>
      <c r="I28" s="260">
        <f t="shared" si="2"/>
        <v>187</v>
      </c>
      <c r="J28" s="258">
        <v>3198</v>
      </c>
      <c r="K28" s="260">
        <f t="shared" si="3"/>
        <v>259</v>
      </c>
      <c r="L28" s="258">
        <v>2485</v>
      </c>
      <c r="M28" s="260">
        <f t="shared" si="4"/>
        <v>-713</v>
      </c>
      <c r="N28" s="258">
        <v>3032</v>
      </c>
      <c r="O28" s="260">
        <f t="shared" si="5"/>
        <v>547</v>
      </c>
      <c r="P28" s="259">
        <v>3160</v>
      </c>
      <c r="Q28" s="260">
        <f t="shared" si="6"/>
        <v>128</v>
      </c>
      <c r="R28" s="259">
        <v>2696</v>
      </c>
      <c r="S28" s="261">
        <f t="shared" si="7"/>
        <v>-464</v>
      </c>
      <c r="U28" s="70">
        <f t="shared" si="8"/>
        <v>4</v>
      </c>
      <c r="V28" s="70">
        <f t="shared" si="9"/>
        <v>-56</v>
      </c>
    </row>
    <row r="29" spans="1:22" s="29" customFormat="1" ht="17.399999999999999" customHeight="1" x14ac:dyDescent="0.4">
      <c r="A29" s="304" t="s">
        <v>283</v>
      </c>
      <c r="B29" s="251" t="s">
        <v>241</v>
      </c>
      <c r="C29" s="254">
        <v>7119</v>
      </c>
      <c r="D29" s="254">
        <v>7085</v>
      </c>
      <c r="E29" s="255">
        <f t="shared" si="0"/>
        <v>-34</v>
      </c>
      <c r="F29" s="254">
        <v>6965</v>
      </c>
      <c r="G29" s="255">
        <f t="shared" si="1"/>
        <v>-120</v>
      </c>
      <c r="H29" s="254">
        <v>7067</v>
      </c>
      <c r="I29" s="255">
        <f t="shared" si="2"/>
        <v>102</v>
      </c>
      <c r="J29" s="253">
        <v>6760</v>
      </c>
      <c r="K29" s="255">
        <f t="shared" si="3"/>
        <v>-307</v>
      </c>
      <c r="L29" s="253">
        <v>6603</v>
      </c>
      <c r="M29" s="255">
        <f t="shared" si="4"/>
        <v>-157</v>
      </c>
      <c r="N29" s="253">
        <v>6741</v>
      </c>
      <c r="O29" s="255">
        <f t="shared" si="5"/>
        <v>138</v>
      </c>
      <c r="P29" s="253">
        <v>6787</v>
      </c>
      <c r="Q29" s="255">
        <f t="shared" si="6"/>
        <v>46</v>
      </c>
      <c r="R29" s="254">
        <v>6526</v>
      </c>
      <c r="S29" s="256">
        <f t="shared" si="7"/>
        <v>-261</v>
      </c>
      <c r="U29" s="162">
        <f t="shared" si="8"/>
        <v>-593</v>
      </c>
      <c r="V29" s="162">
        <f t="shared" si="9"/>
        <v>-439</v>
      </c>
    </row>
    <row r="30" spans="1:22" ht="17.399999999999999" customHeight="1" x14ac:dyDescent="0.4">
      <c r="A30" s="305"/>
      <c r="B30" s="226" t="s">
        <v>3</v>
      </c>
      <c r="C30" s="232">
        <v>3883</v>
      </c>
      <c r="D30" s="232">
        <v>4876</v>
      </c>
      <c r="E30" s="70">
        <f t="shared" si="0"/>
        <v>993</v>
      </c>
      <c r="F30" s="231">
        <v>3984</v>
      </c>
      <c r="G30" s="70">
        <f t="shared" si="1"/>
        <v>-892</v>
      </c>
      <c r="H30" s="232">
        <v>4531</v>
      </c>
      <c r="I30" s="70">
        <f t="shared" si="2"/>
        <v>547</v>
      </c>
      <c r="J30" s="231">
        <v>4915</v>
      </c>
      <c r="K30" s="70">
        <f t="shared" si="3"/>
        <v>384</v>
      </c>
      <c r="L30" s="232">
        <v>3348</v>
      </c>
      <c r="M30" s="70">
        <f t="shared" si="4"/>
        <v>-1567</v>
      </c>
      <c r="N30" s="231">
        <v>4503</v>
      </c>
      <c r="O30" s="70">
        <f t="shared" si="5"/>
        <v>1155</v>
      </c>
      <c r="P30" s="231">
        <v>4997</v>
      </c>
      <c r="Q30" s="70">
        <f t="shared" si="6"/>
        <v>494</v>
      </c>
      <c r="R30" s="232">
        <v>3821</v>
      </c>
      <c r="S30" s="257">
        <f t="shared" si="7"/>
        <v>-1176</v>
      </c>
      <c r="U30" s="70">
        <f t="shared" si="8"/>
        <v>-62</v>
      </c>
      <c r="V30" s="70">
        <f t="shared" si="9"/>
        <v>-163</v>
      </c>
    </row>
    <row r="31" spans="1:22" ht="17.399999999999999" customHeight="1" thickBot="1" x14ac:dyDescent="0.45">
      <c r="A31" s="306"/>
      <c r="B31" s="252" t="s">
        <v>130</v>
      </c>
      <c r="C31" s="258">
        <v>3808</v>
      </c>
      <c r="D31" s="259">
        <v>4855</v>
      </c>
      <c r="E31" s="260">
        <f t="shared" si="0"/>
        <v>1047</v>
      </c>
      <c r="F31" s="258">
        <v>3859</v>
      </c>
      <c r="G31" s="260">
        <f t="shared" si="1"/>
        <v>-996</v>
      </c>
      <c r="H31" s="258">
        <v>4454</v>
      </c>
      <c r="I31" s="260">
        <f t="shared" si="2"/>
        <v>595</v>
      </c>
      <c r="J31" s="258">
        <v>4881</v>
      </c>
      <c r="K31" s="260">
        <f t="shared" si="3"/>
        <v>427</v>
      </c>
      <c r="L31" s="258">
        <v>3276</v>
      </c>
      <c r="M31" s="260">
        <f t="shared" si="4"/>
        <v>-1605</v>
      </c>
      <c r="N31" s="259">
        <v>4440</v>
      </c>
      <c r="O31" s="260">
        <f t="shared" si="5"/>
        <v>1164</v>
      </c>
      <c r="P31" s="258">
        <v>4961</v>
      </c>
      <c r="Q31" s="260">
        <f t="shared" si="6"/>
        <v>521</v>
      </c>
      <c r="R31" s="258">
        <v>3735</v>
      </c>
      <c r="S31" s="261">
        <f t="shared" si="7"/>
        <v>-1226</v>
      </c>
      <c r="U31" s="70">
        <f t="shared" si="8"/>
        <v>-73</v>
      </c>
      <c r="V31" s="70">
        <f t="shared" si="9"/>
        <v>-124</v>
      </c>
    </row>
    <row r="32" spans="1:22" s="29" customFormat="1" ht="17.399999999999999" customHeight="1" x14ac:dyDescent="0.4">
      <c r="A32" s="304" t="s">
        <v>284</v>
      </c>
      <c r="B32" s="251" t="s">
        <v>241</v>
      </c>
      <c r="C32" s="253">
        <v>5787</v>
      </c>
      <c r="D32" s="254">
        <v>5247</v>
      </c>
      <c r="E32" s="255">
        <f t="shared" si="0"/>
        <v>-540</v>
      </c>
      <c r="F32" s="254">
        <v>5245</v>
      </c>
      <c r="G32" s="255">
        <f t="shared" si="1"/>
        <v>-2</v>
      </c>
      <c r="H32" s="254">
        <v>5044</v>
      </c>
      <c r="I32" s="255">
        <f t="shared" si="2"/>
        <v>-201</v>
      </c>
      <c r="J32" s="254">
        <v>4604</v>
      </c>
      <c r="K32" s="255">
        <f t="shared" si="3"/>
        <v>-440</v>
      </c>
      <c r="L32" s="254">
        <v>5020</v>
      </c>
      <c r="M32" s="255">
        <f t="shared" si="4"/>
        <v>416</v>
      </c>
      <c r="N32" s="253">
        <v>4634</v>
      </c>
      <c r="O32" s="255">
        <f t="shared" si="5"/>
        <v>-386</v>
      </c>
      <c r="P32" s="254">
        <v>4279</v>
      </c>
      <c r="Q32" s="255">
        <f t="shared" si="6"/>
        <v>-355</v>
      </c>
      <c r="R32" s="254">
        <v>4488</v>
      </c>
      <c r="S32" s="256">
        <f t="shared" si="7"/>
        <v>209</v>
      </c>
      <c r="U32" s="162">
        <f t="shared" si="8"/>
        <v>-1299</v>
      </c>
      <c r="V32" s="162">
        <f t="shared" si="9"/>
        <v>-757</v>
      </c>
    </row>
    <row r="33" spans="1:22" ht="17.399999999999999" customHeight="1" x14ac:dyDescent="0.4">
      <c r="A33" s="305"/>
      <c r="B33" s="226" t="s">
        <v>3</v>
      </c>
      <c r="C33" s="231">
        <v>3095</v>
      </c>
      <c r="D33" s="232">
        <v>3572</v>
      </c>
      <c r="E33" s="70">
        <f t="shared" si="0"/>
        <v>477</v>
      </c>
      <c r="F33" s="232">
        <v>2873</v>
      </c>
      <c r="G33" s="70">
        <f t="shared" si="1"/>
        <v>-699</v>
      </c>
      <c r="H33" s="232">
        <v>3026</v>
      </c>
      <c r="I33" s="70">
        <f t="shared" si="2"/>
        <v>153</v>
      </c>
      <c r="J33" s="231">
        <v>3185</v>
      </c>
      <c r="K33" s="70">
        <f t="shared" si="3"/>
        <v>159</v>
      </c>
      <c r="L33" s="231">
        <v>2149</v>
      </c>
      <c r="M33" s="70">
        <f t="shared" si="4"/>
        <v>-1036</v>
      </c>
      <c r="N33" s="231">
        <v>2905</v>
      </c>
      <c r="O33" s="70">
        <f t="shared" si="5"/>
        <v>756</v>
      </c>
      <c r="P33" s="231">
        <v>3008</v>
      </c>
      <c r="Q33" s="70">
        <f t="shared" si="6"/>
        <v>103</v>
      </c>
      <c r="R33" s="232">
        <v>2398</v>
      </c>
      <c r="S33" s="257">
        <f t="shared" si="7"/>
        <v>-610</v>
      </c>
      <c r="U33" s="70">
        <f t="shared" si="8"/>
        <v>-697</v>
      </c>
      <c r="V33" s="70">
        <f t="shared" si="9"/>
        <v>-475</v>
      </c>
    </row>
    <row r="34" spans="1:22" ht="17.399999999999999" customHeight="1" thickBot="1" x14ac:dyDescent="0.45">
      <c r="A34" s="306"/>
      <c r="B34" s="252" t="s">
        <v>130</v>
      </c>
      <c r="C34" s="258">
        <v>3043</v>
      </c>
      <c r="D34" s="258">
        <v>3547</v>
      </c>
      <c r="E34" s="260">
        <f t="shared" si="0"/>
        <v>504</v>
      </c>
      <c r="F34" s="258">
        <v>2772</v>
      </c>
      <c r="G34" s="260">
        <f t="shared" si="1"/>
        <v>-775</v>
      </c>
      <c r="H34" s="258">
        <v>2973</v>
      </c>
      <c r="I34" s="260">
        <f t="shared" si="2"/>
        <v>201</v>
      </c>
      <c r="J34" s="259">
        <v>3149</v>
      </c>
      <c r="K34" s="260">
        <f t="shared" si="3"/>
        <v>176</v>
      </c>
      <c r="L34" s="259">
        <v>2089</v>
      </c>
      <c r="M34" s="260">
        <f t="shared" si="4"/>
        <v>-1060</v>
      </c>
      <c r="N34" s="259">
        <v>2862</v>
      </c>
      <c r="O34" s="260">
        <f t="shared" si="5"/>
        <v>773</v>
      </c>
      <c r="P34" s="258">
        <v>2990</v>
      </c>
      <c r="Q34" s="260">
        <f t="shared" si="6"/>
        <v>128</v>
      </c>
      <c r="R34" s="258">
        <v>2340</v>
      </c>
      <c r="S34" s="261">
        <f t="shared" si="7"/>
        <v>-650</v>
      </c>
      <c r="U34" s="70">
        <f t="shared" si="8"/>
        <v>-703</v>
      </c>
      <c r="V34" s="70">
        <f t="shared" si="9"/>
        <v>-432</v>
      </c>
    </row>
    <row r="35" spans="1:22" s="29" customFormat="1" ht="17.399999999999999" customHeight="1" x14ac:dyDescent="0.4">
      <c r="A35" s="304" t="s">
        <v>285</v>
      </c>
      <c r="B35" s="251" t="s">
        <v>241</v>
      </c>
      <c r="C35" s="254">
        <v>15182</v>
      </c>
      <c r="D35" s="254">
        <v>13990</v>
      </c>
      <c r="E35" s="255">
        <f t="shared" si="0"/>
        <v>-1192</v>
      </c>
      <c r="F35" s="254">
        <v>14129</v>
      </c>
      <c r="G35" s="255">
        <f t="shared" si="1"/>
        <v>139</v>
      </c>
      <c r="H35" s="253">
        <v>15655</v>
      </c>
      <c r="I35" s="255">
        <f t="shared" si="2"/>
        <v>1526</v>
      </c>
      <c r="J35" s="253">
        <v>16013</v>
      </c>
      <c r="K35" s="255">
        <f t="shared" si="3"/>
        <v>358</v>
      </c>
      <c r="L35" s="254">
        <v>15220</v>
      </c>
      <c r="M35" s="255">
        <f t="shared" si="4"/>
        <v>-793</v>
      </c>
      <c r="N35" s="254">
        <v>15984</v>
      </c>
      <c r="O35" s="255">
        <f t="shared" si="5"/>
        <v>764</v>
      </c>
      <c r="P35" s="254">
        <v>15696</v>
      </c>
      <c r="Q35" s="255">
        <f t="shared" si="6"/>
        <v>-288</v>
      </c>
      <c r="R35" s="254">
        <v>14333</v>
      </c>
      <c r="S35" s="256">
        <f t="shared" si="7"/>
        <v>-1363</v>
      </c>
      <c r="U35" s="162">
        <f t="shared" si="8"/>
        <v>-849</v>
      </c>
      <c r="V35" s="162">
        <f t="shared" si="9"/>
        <v>204</v>
      </c>
    </row>
    <row r="36" spans="1:22" ht="17.399999999999999" customHeight="1" x14ac:dyDescent="0.4">
      <c r="A36" s="305"/>
      <c r="B36" s="226" t="s">
        <v>3</v>
      </c>
      <c r="C36" s="232">
        <v>8360</v>
      </c>
      <c r="D36" s="232">
        <v>9850</v>
      </c>
      <c r="E36" s="70">
        <f t="shared" si="0"/>
        <v>1490</v>
      </c>
      <c r="F36" s="232">
        <v>7705</v>
      </c>
      <c r="G36" s="70">
        <f t="shared" si="1"/>
        <v>-2145</v>
      </c>
      <c r="H36" s="232">
        <v>9725</v>
      </c>
      <c r="I36" s="70">
        <f t="shared" si="2"/>
        <v>2020</v>
      </c>
      <c r="J36" s="232">
        <v>11505</v>
      </c>
      <c r="K36" s="70">
        <f t="shared" si="3"/>
        <v>1780</v>
      </c>
      <c r="L36" s="231">
        <v>6658</v>
      </c>
      <c r="M36" s="70">
        <f t="shared" si="4"/>
        <v>-4847</v>
      </c>
      <c r="N36" s="231">
        <v>10497</v>
      </c>
      <c r="O36" s="70">
        <f t="shared" si="5"/>
        <v>3839</v>
      </c>
      <c r="P36" s="231">
        <v>11797</v>
      </c>
      <c r="Q36" s="70">
        <f t="shared" si="6"/>
        <v>1300</v>
      </c>
      <c r="R36" s="232">
        <v>7916</v>
      </c>
      <c r="S36" s="257">
        <f t="shared" si="7"/>
        <v>-3881</v>
      </c>
      <c r="U36" s="70">
        <f t="shared" si="8"/>
        <v>-444</v>
      </c>
      <c r="V36" s="70">
        <f t="shared" si="9"/>
        <v>211</v>
      </c>
    </row>
    <row r="37" spans="1:22" ht="17.399999999999999" customHeight="1" thickBot="1" x14ac:dyDescent="0.45">
      <c r="A37" s="306"/>
      <c r="B37" s="252" t="s">
        <v>130</v>
      </c>
      <c r="C37" s="258">
        <v>8277</v>
      </c>
      <c r="D37" s="258">
        <v>9827</v>
      </c>
      <c r="E37" s="260">
        <f t="shared" si="0"/>
        <v>1550</v>
      </c>
      <c r="F37" s="258">
        <v>7600</v>
      </c>
      <c r="G37" s="260">
        <f t="shared" si="1"/>
        <v>-2227</v>
      </c>
      <c r="H37" s="259">
        <v>9637</v>
      </c>
      <c r="I37" s="260">
        <f t="shared" si="2"/>
        <v>2037</v>
      </c>
      <c r="J37" s="258">
        <v>11411</v>
      </c>
      <c r="K37" s="260">
        <f t="shared" si="3"/>
        <v>1774</v>
      </c>
      <c r="L37" s="258">
        <v>6542</v>
      </c>
      <c r="M37" s="260">
        <f t="shared" si="4"/>
        <v>-4869</v>
      </c>
      <c r="N37" s="259">
        <v>10400</v>
      </c>
      <c r="O37" s="260">
        <f t="shared" si="5"/>
        <v>3858</v>
      </c>
      <c r="P37" s="259">
        <v>11710</v>
      </c>
      <c r="Q37" s="260">
        <f t="shared" si="6"/>
        <v>1310</v>
      </c>
      <c r="R37" s="258">
        <v>7833</v>
      </c>
      <c r="S37" s="261">
        <f t="shared" si="7"/>
        <v>-3877</v>
      </c>
      <c r="U37" s="70">
        <f t="shared" si="8"/>
        <v>-444</v>
      </c>
      <c r="V37" s="70">
        <f t="shared" si="9"/>
        <v>233</v>
      </c>
    </row>
    <row r="38" spans="1:22" s="29" customFormat="1" ht="17.399999999999999" customHeight="1" x14ac:dyDescent="0.4">
      <c r="A38" s="304" t="s">
        <v>224</v>
      </c>
      <c r="B38" s="251" t="s">
        <v>241</v>
      </c>
      <c r="C38" s="254">
        <v>12599</v>
      </c>
      <c r="D38" s="254">
        <v>11964</v>
      </c>
      <c r="E38" s="255">
        <f t="shared" si="0"/>
        <v>-635</v>
      </c>
      <c r="F38" s="253">
        <v>12354</v>
      </c>
      <c r="G38" s="255">
        <f t="shared" si="1"/>
        <v>390</v>
      </c>
      <c r="H38" s="254">
        <v>14193</v>
      </c>
      <c r="I38" s="255">
        <f t="shared" si="2"/>
        <v>1839</v>
      </c>
      <c r="J38" s="253">
        <v>13403</v>
      </c>
      <c r="K38" s="255">
        <f t="shared" si="3"/>
        <v>-790</v>
      </c>
      <c r="L38" s="254">
        <v>13958</v>
      </c>
      <c r="M38" s="255">
        <f t="shared" si="4"/>
        <v>555</v>
      </c>
      <c r="N38" s="254">
        <v>13277</v>
      </c>
      <c r="O38" s="255">
        <f t="shared" si="5"/>
        <v>-681</v>
      </c>
      <c r="P38" s="253">
        <v>13051</v>
      </c>
      <c r="Q38" s="255">
        <f t="shared" si="6"/>
        <v>-226</v>
      </c>
      <c r="R38" s="254">
        <v>13425</v>
      </c>
      <c r="S38" s="256">
        <f t="shared" si="7"/>
        <v>374</v>
      </c>
      <c r="U38" s="162">
        <f t="shared" si="8"/>
        <v>826</v>
      </c>
      <c r="V38" s="162">
        <f t="shared" si="9"/>
        <v>1071</v>
      </c>
    </row>
    <row r="39" spans="1:22" ht="17.399999999999999" customHeight="1" x14ac:dyDescent="0.4">
      <c r="A39" s="305"/>
      <c r="B39" s="226" t="s">
        <v>3</v>
      </c>
      <c r="C39" s="232">
        <v>6676</v>
      </c>
      <c r="D39" s="232">
        <v>8429</v>
      </c>
      <c r="E39" s="70">
        <f t="shared" si="0"/>
        <v>1753</v>
      </c>
      <c r="F39" s="232">
        <v>6850</v>
      </c>
      <c r="G39" s="70">
        <f t="shared" si="1"/>
        <v>-1579</v>
      </c>
      <c r="H39" s="232">
        <v>8753</v>
      </c>
      <c r="I39" s="70">
        <f t="shared" si="2"/>
        <v>1903</v>
      </c>
      <c r="J39" s="232">
        <v>9487</v>
      </c>
      <c r="K39" s="70">
        <f t="shared" si="3"/>
        <v>734</v>
      </c>
      <c r="L39" s="232">
        <v>6281</v>
      </c>
      <c r="M39" s="70">
        <f t="shared" si="4"/>
        <v>-3206</v>
      </c>
      <c r="N39" s="232">
        <v>8498</v>
      </c>
      <c r="O39" s="70">
        <f t="shared" si="5"/>
        <v>2217</v>
      </c>
      <c r="P39" s="231">
        <v>9470</v>
      </c>
      <c r="Q39" s="70">
        <f t="shared" si="6"/>
        <v>972</v>
      </c>
      <c r="R39" s="232">
        <v>7639</v>
      </c>
      <c r="S39" s="257">
        <f t="shared" si="7"/>
        <v>-1831</v>
      </c>
      <c r="U39" s="70">
        <f t="shared" si="8"/>
        <v>963</v>
      </c>
      <c r="V39" s="70">
        <f t="shared" si="9"/>
        <v>789</v>
      </c>
    </row>
    <row r="40" spans="1:22" ht="17.399999999999999" customHeight="1" thickBot="1" x14ac:dyDescent="0.45">
      <c r="A40" s="306"/>
      <c r="B40" s="252" t="s">
        <v>130</v>
      </c>
      <c r="C40" s="259">
        <v>6607</v>
      </c>
      <c r="D40" s="258">
        <v>8403</v>
      </c>
      <c r="E40" s="260">
        <f t="shared" si="0"/>
        <v>1796</v>
      </c>
      <c r="F40" s="258">
        <v>6778</v>
      </c>
      <c r="G40" s="260">
        <f t="shared" si="1"/>
        <v>-1625</v>
      </c>
      <c r="H40" s="259">
        <v>8703</v>
      </c>
      <c r="I40" s="260">
        <f t="shared" si="2"/>
        <v>1925</v>
      </c>
      <c r="J40" s="258">
        <v>9433</v>
      </c>
      <c r="K40" s="260">
        <f t="shared" si="3"/>
        <v>730</v>
      </c>
      <c r="L40" s="258">
        <v>6217</v>
      </c>
      <c r="M40" s="260">
        <f t="shared" si="4"/>
        <v>-3216</v>
      </c>
      <c r="N40" s="259">
        <v>8420</v>
      </c>
      <c r="O40" s="260">
        <f t="shared" si="5"/>
        <v>2203</v>
      </c>
      <c r="P40" s="259">
        <v>9408</v>
      </c>
      <c r="Q40" s="260">
        <f t="shared" si="6"/>
        <v>988</v>
      </c>
      <c r="R40" s="258">
        <v>7560</v>
      </c>
      <c r="S40" s="261">
        <f t="shared" si="7"/>
        <v>-1848</v>
      </c>
      <c r="U40" s="70">
        <f t="shared" si="8"/>
        <v>953</v>
      </c>
      <c r="V40" s="70">
        <f t="shared" si="9"/>
        <v>782</v>
      </c>
    </row>
    <row r="41" spans="1:22" s="29" customFormat="1" ht="17.399999999999999" customHeight="1" x14ac:dyDescent="0.4">
      <c r="A41" s="304" t="s">
        <v>225</v>
      </c>
      <c r="B41" s="251" t="s">
        <v>241</v>
      </c>
      <c r="C41" s="254">
        <v>7947</v>
      </c>
      <c r="D41" s="254">
        <v>7869</v>
      </c>
      <c r="E41" s="255">
        <f t="shared" si="0"/>
        <v>-78</v>
      </c>
      <c r="F41" s="253">
        <v>7723</v>
      </c>
      <c r="G41" s="255">
        <f t="shared" si="1"/>
        <v>-146</v>
      </c>
      <c r="H41" s="254">
        <v>7871</v>
      </c>
      <c r="I41" s="255">
        <f t="shared" si="2"/>
        <v>148</v>
      </c>
      <c r="J41" s="254">
        <v>7438</v>
      </c>
      <c r="K41" s="255">
        <f t="shared" si="3"/>
        <v>-433</v>
      </c>
      <c r="L41" s="253">
        <v>7350</v>
      </c>
      <c r="M41" s="255">
        <f t="shared" si="4"/>
        <v>-88</v>
      </c>
      <c r="N41" s="254">
        <v>7140</v>
      </c>
      <c r="O41" s="255">
        <f t="shared" si="5"/>
        <v>-210</v>
      </c>
      <c r="P41" s="254">
        <v>6621</v>
      </c>
      <c r="Q41" s="255">
        <f t="shared" si="6"/>
        <v>-519</v>
      </c>
      <c r="R41" s="253">
        <v>6768</v>
      </c>
      <c r="S41" s="256">
        <f t="shared" si="7"/>
        <v>147</v>
      </c>
      <c r="U41" s="162">
        <f t="shared" si="8"/>
        <v>-1179</v>
      </c>
      <c r="V41" s="162">
        <f t="shared" si="9"/>
        <v>-955</v>
      </c>
    </row>
    <row r="42" spans="1:22" ht="17.399999999999999" customHeight="1" x14ac:dyDescent="0.4">
      <c r="A42" s="305"/>
      <c r="B42" s="226" t="s">
        <v>3</v>
      </c>
      <c r="C42" s="232">
        <v>4193</v>
      </c>
      <c r="D42" s="232">
        <v>5346</v>
      </c>
      <c r="E42" s="70">
        <f t="shared" si="0"/>
        <v>1153</v>
      </c>
      <c r="F42" s="232">
        <v>4158</v>
      </c>
      <c r="G42" s="70">
        <f t="shared" si="1"/>
        <v>-1188</v>
      </c>
      <c r="H42" s="232">
        <v>4976</v>
      </c>
      <c r="I42" s="70">
        <f t="shared" si="2"/>
        <v>818</v>
      </c>
      <c r="J42" s="232">
        <v>5317</v>
      </c>
      <c r="K42" s="70">
        <f t="shared" si="3"/>
        <v>341</v>
      </c>
      <c r="L42" s="231">
        <v>3507</v>
      </c>
      <c r="M42" s="70">
        <f t="shared" si="4"/>
        <v>-1810</v>
      </c>
      <c r="N42" s="232">
        <v>4644</v>
      </c>
      <c r="O42" s="70">
        <f t="shared" si="5"/>
        <v>1137</v>
      </c>
      <c r="P42" s="232">
        <v>4744</v>
      </c>
      <c r="Q42" s="70">
        <f t="shared" si="6"/>
        <v>100</v>
      </c>
      <c r="R42" s="232">
        <v>3698</v>
      </c>
      <c r="S42" s="257">
        <f t="shared" si="7"/>
        <v>-1046</v>
      </c>
      <c r="U42" s="70">
        <f t="shared" si="8"/>
        <v>-495</v>
      </c>
      <c r="V42" s="70">
        <f t="shared" si="9"/>
        <v>-460</v>
      </c>
    </row>
    <row r="43" spans="1:22" ht="17.399999999999999" customHeight="1" thickBot="1" x14ac:dyDescent="0.45">
      <c r="A43" s="306"/>
      <c r="B43" s="252" t="s">
        <v>130</v>
      </c>
      <c r="C43" s="258">
        <v>4145</v>
      </c>
      <c r="D43" s="258">
        <v>5328</v>
      </c>
      <c r="E43" s="260">
        <f t="shared" si="0"/>
        <v>1183</v>
      </c>
      <c r="F43" s="258">
        <v>4094</v>
      </c>
      <c r="G43" s="260">
        <f t="shared" si="1"/>
        <v>-1234</v>
      </c>
      <c r="H43" s="258">
        <v>4918</v>
      </c>
      <c r="I43" s="260">
        <f t="shared" si="2"/>
        <v>824</v>
      </c>
      <c r="J43" s="259">
        <v>5268</v>
      </c>
      <c r="K43" s="260">
        <f t="shared" si="3"/>
        <v>350</v>
      </c>
      <c r="L43" s="259">
        <v>3443</v>
      </c>
      <c r="M43" s="260">
        <f t="shared" si="4"/>
        <v>-1825</v>
      </c>
      <c r="N43" s="259">
        <v>4588</v>
      </c>
      <c r="O43" s="260">
        <f t="shared" si="5"/>
        <v>1145</v>
      </c>
      <c r="P43" s="259">
        <v>4706</v>
      </c>
      <c r="Q43" s="260">
        <f t="shared" si="6"/>
        <v>118</v>
      </c>
      <c r="R43" s="258">
        <v>3667</v>
      </c>
      <c r="S43" s="261">
        <f t="shared" si="7"/>
        <v>-1039</v>
      </c>
      <c r="U43" s="70">
        <f t="shared" si="8"/>
        <v>-478</v>
      </c>
      <c r="V43" s="70">
        <f t="shared" si="9"/>
        <v>-427</v>
      </c>
    </row>
    <row r="44" spans="1:22" s="29" customFormat="1" ht="17.399999999999999" customHeight="1" x14ac:dyDescent="0.4">
      <c r="A44" s="304" t="s">
        <v>226</v>
      </c>
      <c r="B44" s="251" t="s">
        <v>241</v>
      </c>
      <c r="C44" s="254">
        <v>11636</v>
      </c>
      <c r="D44" s="253">
        <v>11360</v>
      </c>
      <c r="E44" s="255">
        <f t="shared" si="0"/>
        <v>-276</v>
      </c>
      <c r="F44" s="254">
        <v>11257</v>
      </c>
      <c r="G44" s="255">
        <f t="shared" si="1"/>
        <v>-103</v>
      </c>
      <c r="H44" s="253">
        <v>12777</v>
      </c>
      <c r="I44" s="255">
        <f t="shared" si="2"/>
        <v>1520</v>
      </c>
      <c r="J44" s="254">
        <v>12213</v>
      </c>
      <c r="K44" s="255">
        <f t="shared" si="3"/>
        <v>-564</v>
      </c>
      <c r="L44" s="253">
        <v>12327</v>
      </c>
      <c r="M44" s="255">
        <f t="shared" si="4"/>
        <v>114</v>
      </c>
      <c r="N44" s="254">
        <v>13196</v>
      </c>
      <c r="O44" s="255">
        <f t="shared" si="5"/>
        <v>869</v>
      </c>
      <c r="P44" s="254">
        <v>13109</v>
      </c>
      <c r="Q44" s="255">
        <f t="shared" si="6"/>
        <v>-87</v>
      </c>
      <c r="R44" s="253">
        <v>13312</v>
      </c>
      <c r="S44" s="256">
        <f t="shared" si="7"/>
        <v>203</v>
      </c>
      <c r="U44" s="162">
        <f t="shared" si="8"/>
        <v>1676</v>
      </c>
      <c r="V44" s="162">
        <f t="shared" si="9"/>
        <v>2055</v>
      </c>
    </row>
    <row r="45" spans="1:22" ht="17.399999999999999" customHeight="1" x14ac:dyDescent="0.4">
      <c r="A45" s="305"/>
      <c r="B45" s="226" t="s">
        <v>3</v>
      </c>
      <c r="C45" s="231">
        <v>6300</v>
      </c>
      <c r="D45" s="232">
        <v>8026</v>
      </c>
      <c r="E45" s="70">
        <f t="shared" si="0"/>
        <v>1726</v>
      </c>
      <c r="F45" s="232">
        <v>6279</v>
      </c>
      <c r="G45" s="70">
        <f t="shared" si="1"/>
        <v>-1747</v>
      </c>
      <c r="H45" s="232">
        <v>8029</v>
      </c>
      <c r="I45" s="70">
        <f t="shared" si="2"/>
        <v>1750</v>
      </c>
      <c r="J45" s="231">
        <v>8752</v>
      </c>
      <c r="K45" s="70">
        <f t="shared" si="3"/>
        <v>723</v>
      </c>
      <c r="L45" s="231">
        <v>5375</v>
      </c>
      <c r="M45" s="70">
        <f t="shared" si="4"/>
        <v>-3377</v>
      </c>
      <c r="N45" s="231">
        <v>8453</v>
      </c>
      <c r="O45" s="70">
        <f t="shared" si="5"/>
        <v>3078</v>
      </c>
      <c r="P45" s="232">
        <v>9711</v>
      </c>
      <c r="Q45" s="70">
        <f t="shared" si="6"/>
        <v>1258</v>
      </c>
      <c r="R45" s="232">
        <v>7555</v>
      </c>
      <c r="S45" s="257">
        <f t="shared" si="7"/>
        <v>-2156</v>
      </c>
      <c r="U45" s="70">
        <f t="shared" si="8"/>
        <v>1255</v>
      </c>
      <c r="V45" s="70">
        <f t="shared" si="9"/>
        <v>1276</v>
      </c>
    </row>
    <row r="46" spans="1:22" ht="17.399999999999999" customHeight="1" thickBot="1" x14ac:dyDescent="0.45">
      <c r="A46" s="306"/>
      <c r="B46" s="252" t="s">
        <v>130</v>
      </c>
      <c r="C46" s="258">
        <v>6231</v>
      </c>
      <c r="D46" s="258">
        <v>7987</v>
      </c>
      <c r="E46" s="260">
        <f t="shared" si="0"/>
        <v>1756</v>
      </c>
      <c r="F46" s="258">
        <v>6188</v>
      </c>
      <c r="G46" s="260">
        <f t="shared" si="1"/>
        <v>-1799</v>
      </c>
      <c r="H46" s="258">
        <v>7936</v>
      </c>
      <c r="I46" s="260">
        <f t="shared" si="2"/>
        <v>1748</v>
      </c>
      <c r="J46" s="258">
        <v>8677</v>
      </c>
      <c r="K46" s="260">
        <f t="shared" si="3"/>
        <v>741</v>
      </c>
      <c r="L46" s="259">
        <v>5301</v>
      </c>
      <c r="M46" s="260">
        <f t="shared" si="4"/>
        <v>-3376</v>
      </c>
      <c r="N46" s="258">
        <v>8359</v>
      </c>
      <c r="O46" s="260">
        <f t="shared" si="5"/>
        <v>3058</v>
      </c>
      <c r="P46" s="259">
        <v>9635</v>
      </c>
      <c r="Q46" s="260">
        <f t="shared" si="6"/>
        <v>1276</v>
      </c>
      <c r="R46" s="258">
        <v>7467</v>
      </c>
      <c r="S46" s="261">
        <f t="shared" si="7"/>
        <v>-2168</v>
      </c>
      <c r="U46" s="70">
        <f t="shared" si="8"/>
        <v>1236</v>
      </c>
      <c r="V46" s="70">
        <f t="shared" si="9"/>
        <v>1279</v>
      </c>
    </row>
    <row r="47" spans="1:22" s="29" customFormat="1" ht="17.399999999999999" customHeight="1" x14ac:dyDescent="0.4">
      <c r="A47" s="304" t="s">
        <v>227</v>
      </c>
      <c r="B47" s="251" t="s">
        <v>241</v>
      </c>
      <c r="C47" s="254">
        <v>18942</v>
      </c>
      <c r="D47" s="254">
        <v>20396</v>
      </c>
      <c r="E47" s="255">
        <f t="shared" si="0"/>
        <v>1454</v>
      </c>
      <c r="F47" s="254">
        <v>21395</v>
      </c>
      <c r="G47" s="255">
        <f t="shared" si="1"/>
        <v>999</v>
      </c>
      <c r="H47" s="254">
        <v>21055</v>
      </c>
      <c r="I47" s="255">
        <f t="shared" si="2"/>
        <v>-340</v>
      </c>
      <c r="J47" s="254">
        <v>23723</v>
      </c>
      <c r="K47" s="255">
        <f t="shared" si="3"/>
        <v>2668</v>
      </c>
      <c r="L47" s="253">
        <v>24592</v>
      </c>
      <c r="M47" s="255">
        <f t="shared" si="4"/>
        <v>869</v>
      </c>
      <c r="N47" s="253">
        <v>25323</v>
      </c>
      <c r="O47" s="255">
        <f t="shared" si="5"/>
        <v>731</v>
      </c>
      <c r="P47" s="254">
        <v>24249</v>
      </c>
      <c r="Q47" s="255">
        <f t="shared" si="6"/>
        <v>-1074</v>
      </c>
      <c r="R47" s="253">
        <v>25327</v>
      </c>
      <c r="S47" s="256">
        <f t="shared" si="7"/>
        <v>1078</v>
      </c>
      <c r="U47" s="162">
        <f t="shared" si="8"/>
        <v>6385</v>
      </c>
      <c r="V47" s="162">
        <f t="shared" si="9"/>
        <v>3932</v>
      </c>
    </row>
    <row r="48" spans="1:22" ht="17.399999999999999" customHeight="1" x14ac:dyDescent="0.4">
      <c r="A48" s="305"/>
      <c r="B48" s="226" t="s">
        <v>3</v>
      </c>
      <c r="C48" s="231">
        <v>9994</v>
      </c>
      <c r="D48" s="232">
        <v>14691</v>
      </c>
      <c r="E48" s="70">
        <f t="shared" si="0"/>
        <v>4697</v>
      </c>
      <c r="F48" s="231">
        <v>12172</v>
      </c>
      <c r="G48" s="70">
        <f t="shared" si="1"/>
        <v>-2519</v>
      </c>
      <c r="H48" s="232">
        <v>12952</v>
      </c>
      <c r="I48" s="70">
        <f t="shared" si="2"/>
        <v>780</v>
      </c>
      <c r="J48" s="232">
        <v>16856</v>
      </c>
      <c r="K48" s="70">
        <f t="shared" si="3"/>
        <v>3904</v>
      </c>
      <c r="L48" s="231">
        <v>10586</v>
      </c>
      <c r="M48" s="70">
        <f t="shared" si="4"/>
        <v>-6270</v>
      </c>
      <c r="N48" s="232">
        <v>16201</v>
      </c>
      <c r="O48" s="70">
        <f t="shared" si="5"/>
        <v>5615</v>
      </c>
      <c r="P48" s="232">
        <v>17953</v>
      </c>
      <c r="Q48" s="70">
        <f t="shared" si="6"/>
        <v>1752</v>
      </c>
      <c r="R48" s="232">
        <v>14331</v>
      </c>
      <c r="S48" s="257">
        <f t="shared" si="7"/>
        <v>-3622</v>
      </c>
      <c r="U48" s="70">
        <f t="shared" si="8"/>
        <v>4337</v>
      </c>
      <c r="V48" s="70">
        <f t="shared" si="9"/>
        <v>2159</v>
      </c>
    </row>
    <row r="49" spans="1:22" ht="17.399999999999999" customHeight="1" thickBot="1" x14ac:dyDescent="0.45">
      <c r="A49" s="306"/>
      <c r="B49" s="252" t="s">
        <v>130</v>
      </c>
      <c r="C49" s="258">
        <v>9886</v>
      </c>
      <c r="D49" s="259">
        <v>14648</v>
      </c>
      <c r="E49" s="260">
        <f t="shared" si="0"/>
        <v>4762</v>
      </c>
      <c r="F49" s="258">
        <v>12057</v>
      </c>
      <c r="G49" s="260">
        <f t="shared" si="1"/>
        <v>-2591</v>
      </c>
      <c r="H49" s="259">
        <v>12825</v>
      </c>
      <c r="I49" s="260">
        <f t="shared" si="2"/>
        <v>768</v>
      </c>
      <c r="J49" s="259">
        <v>16723</v>
      </c>
      <c r="K49" s="260">
        <f t="shared" si="3"/>
        <v>3898</v>
      </c>
      <c r="L49" s="259">
        <v>10486</v>
      </c>
      <c r="M49" s="260">
        <f t="shared" si="4"/>
        <v>-6237</v>
      </c>
      <c r="N49" s="259">
        <v>16055</v>
      </c>
      <c r="O49" s="260">
        <f t="shared" si="5"/>
        <v>5569</v>
      </c>
      <c r="P49" s="258">
        <v>17843</v>
      </c>
      <c r="Q49" s="260">
        <f t="shared" si="6"/>
        <v>1788</v>
      </c>
      <c r="R49" s="259">
        <v>14225</v>
      </c>
      <c r="S49" s="261">
        <f t="shared" si="7"/>
        <v>-3618</v>
      </c>
      <c r="U49" s="70">
        <f t="shared" si="8"/>
        <v>4339</v>
      </c>
      <c r="V49" s="70">
        <f t="shared" si="9"/>
        <v>2168</v>
      </c>
    </row>
  </sheetData>
  <mergeCells count="36">
    <mergeCell ref="A44:A46"/>
    <mergeCell ref="A47:A49"/>
    <mergeCell ref="A26:A28"/>
    <mergeCell ref="A29:A31"/>
    <mergeCell ref="A32:A34"/>
    <mergeCell ref="A35:A37"/>
    <mergeCell ref="A38:A40"/>
    <mergeCell ref="A41:A43"/>
    <mergeCell ref="A23:A25"/>
    <mergeCell ref="Q2:Q3"/>
    <mergeCell ref="R2:R3"/>
    <mergeCell ref="S2:S3"/>
    <mergeCell ref="U2:U3"/>
    <mergeCell ref="A8:A10"/>
    <mergeCell ref="A11:A13"/>
    <mergeCell ref="A14:A16"/>
    <mergeCell ref="A17:A19"/>
    <mergeCell ref="A20:A22"/>
    <mergeCell ref="V2:V3"/>
    <mergeCell ref="A5:A7"/>
    <mergeCell ref="K2:K3"/>
    <mergeCell ref="L2:L3"/>
    <mergeCell ref="M2:M3"/>
    <mergeCell ref="N2:N3"/>
    <mergeCell ref="O2:O3"/>
    <mergeCell ref="P2:P3"/>
    <mergeCell ref="A1:S1"/>
    <mergeCell ref="A2:B4"/>
    <mergeCell ref="C2:C3"/>
    <mergeCell ref="D2:D3"/>
    <mergeCell ref="E2:E3"/>
    <mergeCell ref="F2:F3"/>
    <mergeCell ref="G2:G3"/>
    <mergeCell ref="H2:H3"/>
    <mergeCell ref="I2:I3"/>
    <mergeCell ref="J2:J3"/>
  </mergeCells>
  <phoneticPr fontId="3" type="noConversion"/>
  <pageMargins left="0.25" right="0.25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F301-D9C4-40A0-AAC5-E7AAC6AFDA78}">
  <dimension ref="A1:BV43"/>
  <sheetViews>
    <sheetView workbookViewId="0">
      <selection activeCell="K49" sqref="K49"/>
    </sheetView>
  </sheetViews>
  <sheetFormatPr defaultColWidth="7.19921875" defaultRowHeight="18" customHeight="1" x14ac:dyDescent="0.4"/>
  <cols>
    <col min="1" max="1" width="6.59765625" style="130" customWidth="1"/>
    <col min="2" max="2" width="8.69921875" style="130" customWidth="1"/>
    <col min="3" max="24" width="6.796875" style="42" customWidth="1"/>
    <col min="25" max="27" width="7.19921875" style="42"/>
    <col min="75" max="16384" width="7.19921875" style="42"/>
  </cols>
  <sheetData>
    <row r="1" spans="1:74" s="130" customFormat="1" ht="32.4" customHeight="1" x14ac:dyDescent="0.4">
      <c r="A1" s="223" t="s">
        <v>276</v>
      </c>
      <c r="B1" s="223" t="s">
        <v>171</v>
      </c>
      <c r="C1" s="223" t="s">
        <v>11</v>
      </c>
      <c r="D1" s="223" t="s">
        <v>172</v>
      </c>
      <c r="E1" s="223" t="s">
        <v>173</v>
      </c>
      <c r="F1" s="223" t="s">
        <v>174</v>
      </c>
      <c r="G1" s="223" t="s">
        <v>175</v>
      </c>
      <c r="H1" s="223" t="s">
        <v>176</v>
      </c>
      <c r="I1" s="223" t="s">
        <v>177</v>
      </c>
      <c r="J1" s="223" t="s">
        <v>178</v>
      </c>
      <c r="K1" s="223" t="s">
        <v>179</v>
      </c>
      <c r="L1" s="223" t="s">
        <v>180</v>
      </c>
      <c r="M1" s="223" t="s">
        <v>181</v>
      </c>
      <c r="N1" s="223" t="s">
        <v>182</v>
      </c>
      <c r="O1" s="223" t="s">
        <v>183</v>
      </c>
      <c r="P1" s="223" t="s">
        <v>184</v>
      </c>
      <c r="Q1" s="223" t="s">
        <v>185</v>
      </c>
      <c r="R1" s="223" t="s">
        <v>186</v>
      </c>
      <c r="S1" s="223" t="s">
        <v>187</v>
      </c>
      <c r="T1" s="223" t="s">
        <v>188</v>
      </c>
      <c r="U1" s="223" t="s">
        <v>189</v>
      </c>
      <c r="V1" s="223" t="s">
        <v>190</v>
      </c>
      <c r="W1" s="223" t="s">
        <v>191</v>
      </c>
      <c r="X1" s="223" t="s">
        <v>192</v>
      </c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</row>
    <row r="2" spans="1:74" s="57" customFormat="1" ht="18" customHeight="1" x14ac:dyDescent="0.35">
      <c r="A2" s="307" t="s">
        <v>240</v>
      </c>
      <c r="B2" s="223" t="s">
        <v>193</v>
      </c>
      <c r="C2" s="222">
        <v>170023</v>
      </c>
      <c r="D2" s="222">
        <v>8490</v>
      </c>
      <c r="E2" s="222">
        <v>8859</v>
      </c>
      <c r="F2" s="222">
        <v>8614</v>
      </c>
      <c r="G2" s="222">
        <v>10799</v>
      </c>
      <c r="H2" s="222">
        <v>9929</v>
      </c>
      <c r="I2" s="222">
        <v>9010</v>
      </c>
      <c r="J2" s="222">
        <v>11187</v>
      </c>
      <c r="K2" s="222">
        <v>12821</v>
      </c>
      <c r="L2" s="222">
        <v>14137</v>
      </c>
      <c r="M2" s="222">
        <v>13999</v>
      </c>
      <c r="N2" s="222">
        <v>13136</v>
      </c>
      <c r="O2" s="222">
        <v>12469</v>
      </c>
      <c r="P2" s="222">
        <v>9142</v>
      </c>
      <c r="Q2" s="222">
        <v>7879</v>
      </c>
      <c r="R2" s="222">
        <v>6660</v>
      </c>
      <c r="S2" s="222">
        <v>5759</v>
      </c>
      <c r="T2" s="222">
        <v>4446</v>
      </c>
      <c r="U2" s="222">
        <v>1787</v>
      </c>
      <c r="V2" s="222">
        <v>700</v>
      </c>
      <c r="W2" s="222">
        <v>151</v>
      </c>
      <c r="X2" s="222">
        <v>49</v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</row>
    <row r="3" spans="1:74" s="57" customFormat="1" ht="18" customHeight="1" x14ac:dyDescent="0.35">
      <c r="A3" s="308"/>
      <c r="B3" s="223" t="s">
        <v>194</v>
      </c>
      <c r="C3" s="222">
        <v>171012</v>
      </c>
      <c r="D3" s="222">
        <v>8269</v>
      </c>
      <c r="E3" s="222">
        <v>8828</v>
      </c>
      <c r="F3" s="222">
        <v>8343</v>
      </c>
      <c r="G3" s="222">
        <v>10507</v>
      </c>
      <c r="H3" s="222">
        <v>9848</v>
      </c>
      <c r="I3" s="222">
        <v>9246</v>
      </c>
      <c r="J3" s="222">
        <v>10542</v>
      </c>
      <c r="K3" s="222">
        <v>13080</v>
      </c>
      <c r="L3" s="222">
        <v>13557</v>
      </c>
      <c r="M3" s="222">
        <v>14345</v>
      </c>
      <c r="N3" s="222">
        <v>12954</v>
      </c>
      <c r="O3" s="222">
        <v>13380</v>
      </c>
      <c r="P3" s="222">
        <v>9724</v>
      </c>
      <c r="Q3" s="222">
        <v>8155</v>
      </c>
      <c r="R3" s="222">
        <v>6466</v>
      </c>
      <c r="S3" s="222">
        <v>6087</v>
      </c>
      <c r="T3" s="222">
        <v>4687</v>
      </c>
      <c r="U3" s="222">
        <v>2022</v>
      </c>
      <c r="V3" s="222">
        <v>756</v>
      </c>
      <c r="W3" s="222">
        <v>162</v>
      </c>
      <c r="X3" s="222">
        <v>54</v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</row>
    <row r="4" spans="1:74" ht="18" customHeight="1" x14ac:dyDescent="0.35">
      <c r="A4" s="308"/>
      <c r="B4" s="210" t="s">
        <v>229</v>
      </c>
      <c r="C4" s="211">
        <f>C3-C2</f>
        <v>989</v>
      </c>
      <c r="D4" s="211">
        <f t="shared" ref="D4:X4" si="0">D3-D2</f>
        <v>-221</v>
      </c>
      <c r="E4" s="211">
        <f t="shared" si="0"/>
        <v>-31</v>
      </c>
      <c r="F4" s="211">
        <f t="shared" si="0"/>
        <v>-271</v>
      </c>
      <c r="G4" s="211">
        <f t="shared" si="0"/>
        <v>-292</v>
      </c>
      <c r="H4" s="211">
        <f t="shared" si="0"/>
        <v>-81</v>
      </c>
      <c r="I4" s="211">
        <f t="shared" si="0"/>
        <v>236</v>
      </c>
      <c r="J4" s="211">
        <f t="shared" si="0"/>
        <v>-645</v>
      </c>
      <c r="K4" s="211">
        <f t="shared" si="0"/>
        <v>259</v>
      </c>
      <c r="L4" s="211">
        <f t="shared" si="0"/>
        <v>-580</v>
      </c>
      <c r="M4" s="211">
        <f t="shared" si="0"/>
        <v>346</v>
      </c>
      <c r="N4" s="211">
        <f t="shared" si="0"/>
        <v>-182</v>
      </c>
      <c r="O4" s="211">
        <f t="shared" si="0"/>
        <v>911</v>
      </c>
      <c r="P4" s="211">
        <f t="shared" si="0"/>
        <v>582</v>
      </c>
      <c r="Q4" s="211">
        <f t="shared" si="0"/>
        <v>276</v>
      </c>
      <c r="R4" s="211">
        <f t="shared" si="0"/>
        <v>-194</v>
      </c>
      <c r="S4" s="211">
        <f t="shared" si="0"/>
        <v>328</v>
      </c>
      <c r="T4" s="211">
        <f t="shared" si="0"/>
        <v>241</v>
      </c>
      <c r="U4" s="211">
        <f t="shared" si="0"/>
        <v>235</v>
      </c>
      <c r="V4" s="211">
        <f t="shared" si="0"/>
        <v>56</v>
      </c>
      <c r="W4" s="211">
        <f t="shared" si="0"/>
        <v>11</v>
      </c>
      <c r="X4" s="211">
        <f t="shared" si="0"/>
        <v>5</v>
      </c>
    </row>
    <row r="5" spans="1:74" s="57" customFormat="1" ht="18" customHeight="1" x14ac:dyDescent="0.35">
      <c r="A5" s="308"/>
      <c r="B5" s="223" t="s">
        <v>195</v>
      </c>
      <c r="C5" s="222">
        <v>172290</v>
      </c>
      <c r="D5" s="222">
        <v>7802</v>
      </c>
      <c r="E5" s="222">
        <v>8715</v>
      </c>
      <c r="F5" s="222">
        <v>8397</v>
      </c>
      <c r="G5" s="222">
        <v>10097</v>
      </c>
      <c r="H5" s="222">
        <v>9780</v>
      </c>
      <c r="I5" s="222">
        <v>9507</v>
      </c>
      <c r="J5" s="222">
        <v>10034</v>
      </c>
      <c r="K5" s="222">
        <v>13102</v>
      </c>
      <c r="L5" s="222">
        <v>13194</v>
      </c>
      <c r="M5" s="222">
        <v>14715</v>
      </c>
      <c r="N5" s="222">
        <v>13094</v>
      </c>
      <c r="O5" s="222">
        <v>13988</v>
      </c>
      <c r="P5" s="222">
        <v>10439</v>
      </c>
      <c r="Q5" s="222">
        <v>8406</v>
      </c>
      <c r="R5" s="222">
        <v>6445</v>
      </c>
      <c r="S5" s="222">
        <v>6359</v>
      </c>
      <c r="T5" s="222">
        <v>4813</v>
      </c>
      <c r="U5" s="222">
        <v>2395</v>
      </c>
      <c r="V5" s="222">
        <v>755</v>
      </c>
      <c r="W5" s="222">
        <v>192</v>
      </c>
      <c r="X5" s="222">
        <v>61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</row>
    <row r="6" spans="1:74" ht="18" customHeight="1" x14ac:dyDescent="0.35">
      <c r="A6" s="308"/>
      <c r="B6" s="210" t="s">
        <v>230</v>
      </c>
      <c r="C6" s="211">
        <f>C5-C3</f>
        <v>1278</v>
      </c>
      <c r="D6" s="211">
        <f t="shared" ref="D6:X6" si="1">D5-D3</f>
        <v>-467</v>
      </c>
      <c r="E6" s="211">
        <f t="shared" si="1"/>
        <v>-113</v>
      </c>
      <c r="F6" s="211">
        <f t="shared" si="1"/>
        <v>54</v>
      </c>
      <c r="G6" s="211">
        <f t="shared" si="1"/>
        <v>-410</v>
      </c>
      <c r="H6" s="211">
        <f t="shared" si="1"/>
        <v>-68</v>
      </c>
      <c r="I6" s="211">
        <f t="shared" si="1"/>
        <v>261</v>
      </c>
      <c r="J6" s="211">
        <f t="shared" si="1"/>
        <v>-508</v>
      </c>
      <c r="K6" s="211">
        <f t="shared" si="1"/>
        <v>22</v>
      </c>
      <c r="L6" s="211">
        <f t="shared" si="1"/>
        <v>-363</v>
      </c>
      <c r="M6" s="211">
        <f t="shared" si="1"/>
        <v>370</v>
      </c>
      <c r="N6" s="211">
        <f t="shared" si="1"/>
        <v>140</v>
      </c>
      <c r="O6" s="211">
        <f t="shared" si="1"/>
        <v>608</v>
      </c>
      <c r="P6" s="211">
        <f t="shared" si="1"/>
        <v>715</v>
      </c>
      <c r="Q6" s="211">
        <f t="shared" si="1"/>
        <v>251</v>
      </c>
      <c r="R6" s="211">
        <f t="shared" si="1"/>
        <v>-21</v>
      </c>
      <c r="S6" s="211">
        <f t="shared" si="1"/>
        <v>272</v>
      </c>
      <c r="T6" s="211">
        <f t="shared" si="1"/>
        <v>126</v>
      </c>
      <c r="U6" s="211">
        <f t="shared" si="1"/>
        <v>373</v>
      </c>
      <c r="V6" s="211">
        <f t="shared" si="1"/>
        <v>-1</v>
      </c>
      <c r="W6" s="211">
        <f t="shared" si="1"/>
        <v>30</v>
      </c>
      <c r="X6" s="211">
        <f t="shared" si="1"/>
        <v>7</v>
      </c>
    </row>
    <row r="7" spans="1:74" s="57" customFormat="1" ht="18" customHeight="1" x14ac:dyDescent="0.35">
      <c r="A7" s="308"/>
      <c r="B7" s="223" t="s">
        <v>196</v>
      </c>
      <c r="C7" s="222">
        <v>174629</v>
      </c>
      <c r="D7" s="222">
        <v>7037</v>
      </c>
      <c r="E7" s="222">
        <v>8778</v>
      </c>
      <c r="F7" s="222">
        <v>8526</v>
      </c>
      <c r="G7" s="222">
        <v>8981</v>
      </c>
      <c r="H7" s="222">
        <v>9474</v>
      </c>
      <c r="I7" s="222">
        <v>9699</v>
      </c>
      <c r="J7" s="222">
        <v>10005</v>
      </c>
      <c r="K7" s="222">
        <v>12524</v>
      </c>
      <c r="L7" s="222">
        <v>13070</v>
      </c>
      <c r="M7" s="222">
        <v>14713</v>
      </c>
      <c r="N7" s="222">
        <v>13986</v>
      </c>
      <c r="O7" s="222">
        <v>14099</v>
      </c>
      <c r="P7" s="222">
        <v>12128</v>
      </c>
      <c r="Q7" s="222">
        <v>8743</v>
      </c>
      <c r="R7" s="222">
        <v>7333</v>
      </c>
      <c r="S7" s="222">
        <v>6245</v>
      </c>
      <c r="T7" s="222">
        <v>5140</v>
      </c>
      <c r="U7" s="222">
        <v>2928</v>
      </c>
      <c r="V7" s="222">
        <v>938</v>
      </c>
      <c r="W7" s="222">
        <v>218</v>
      </c>
      <c r="X7" s="222">
        <v>64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</row>
    <row r="8" spans="1:74" ht="18" customHeight="1" x14ac:dyDescent="0.35">
      <c r="A8" s="308"/>
      <c r="B8" s="210" t="s">
        <v>231</v>
      </c>
      <c r="C8" s="211">
        <f>C7-C5</f>
        <v>2339</v>
      </c>
      <c r="D8" s="211">
        <f t="shared" ref="D8:X8" si="2">D7-D5</f>
        <v>-765</v>
      </c>
      <c r="E8" s="211">
        <f t="shared" si="2"/>
        <v>63</v>
      </c>
      <c r="F8" s="211">
        <f t="shared" si="2"/>
        <v>129</v>
      </c>
      <c r="G8" s="211">
        <f t="shared" si="2"/>
        <v>-1116</v>
      </c>
      <c r="H8" s="211">
        <f t="shared" si="2"/>
        <v>-306</v>
      </c>
      <c r="I8" s="211">
        <f t="shared" si="2"/>
        <v>192</v>
      </c>
      <c r="J8" s="211">
        <f t="shared" si="2"/>
        <v>-29</v>
      </c>
      <c r="K8" s="211">
        <f t="shared" si="2"/>
        <v>-578</v>
      </c>
      <c r="L8" s="211">
        <f t="shared" si="2"/>
        <v>-124</v>
      </c>
      <c r="M8" s="211">
        <f t="shared" si="2"/>
        <v>-2</v>
      </c>
      <c r="N8" s="211">
        <f t="shared" si="2"/>
        <v>892</v>
      </c>
      <c r="O8" s="211">
        <f t="shared" si="2"/>
        <v>111</v>
      </c>
      <c r="P8" s="211">
        <f t="shared" si="2"/>
        <v>1689</v>
      </c>
      <c r="Q8" s="211">
        <f t="shared" si="2"/>
        <v>337</v>
      </c>
      <c r="R8" s="211">
        <f t="shared" si="2"/>
        <v>888</v>
      </c>
      <c r="S8" s="211">
        <f t="shared" si="2"/>
        <v>-114</v>
      </c>
      <c r="T8" s="211">
        <f t="shared" si="2"/>
        <v>327</v>
      </c>
      <c r="U8" s="211">
        <f t="shared" si="2"/>
        <v>533</v>
      </c>
      <c r="V8" s="211">
        <f t="shared" si="2"/>
        <v>183</v>
      </c>
      <c r="W8" s="211">
        <f t="shared" si="2"/>
        <v>26</v>
      </c>
      <c r="X8" s="211">
        <f t="shared" si="2"/>
        <v>3</v>
      </c>
    </row>
    <row r="9" spans="1:74" s="57" customFormat="1" ht="18" customHeight="1" x14ac:dyDescent="0.35">
      <c r="A9" s="308"/>
      <c r="B9" s="223" t="s">
        <v>197</v>
      </c>
      <c r="C9" s="222">
        <v>176452</v>
      </c>
      <c r="D9" s="222">
        <v>5972</v>
      </c>
      <c r="E9" s="222">
        <v>8494</v>
      </c>
      <c r="F9" s="222">
        <v>8942</v>
      </c>
      <c r="G9" s="222">
        <v>8059</v>
      </c>
      <c r="H9" s="222">
        <v>8897</v>
      </c>
      <c r="I9" s="222">
        <v>9813</v>
      </c>
      <c r="J9" s="222">
        <v>10116</v>
      </c>
      <c r="K9" s="222">
        <v>11169</v>
      </c>
      <c r="L9" s="222">
        <v>13710</v>
      </c>
      <c r="M9" s="222">
        <v>14093</v>
      </c>
      <c r="N9" s="222">
        <v>15095</v>
      </c>
      <c r="O9" s="222">
        <v>13670</v>
      </c>
      <c r="P9" s="222">
        <v>14119</v>
      </c>
      <c r="Q9" s="222">
        <v>10083</v>
      </c>
      <c r="R9" s="222">
        <v>7996</v>
      </c>
      <c r="S9" s="222">
        <v>6022</v>
      </c>
      <c r="T9" s="222">
        <v>5263</v>
      </c>
      <c r="U9" s="222">
        <v>3486</v>
      </c>
      <c r="V9" s="222">
        <v>1145</v>
      </c>
      <c r="W9" s="222">
        <v>265</v>
      </c>
      <c r="X9" s="222">
        <v>43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</row>
    <row r="10" spans="1:74" ht="18" customHeight="1" x14ac:dyDescent="0.35">
      <c r="A10" s="308"/>
      <c r="B10" s="210" t="s">
        <v>228</v>
      </c>
      <c r="C10" s="211">
        <f>C9-C7</f>
        <v>1823</v>
      </c>
      <c r="D10" s="211">
        <f t="shared" ref="D10:X10" si="3">D9-D7</f>
        <v>-1065</v>
      </c>
      <c r="E10" s="211">
        <f t="shared" si="3"/>
        <v>-284</v>
      </c>
      <c r="F10" s="211">
        <f t="shared" si="3"/>
        <v>416</v>
      </c>
      <c r="G10" s="211">
        <f t="shared" si="3"/>
        <v>-922</v>
      </c>
      <c r="H10" s="211">
        <f t="shared" si="3"/>
        <v>-577</v>
      </c>
      <c r="I10" s="211">
        <f t="shared" si="3"/>
        <v>114</v>
      </c>
      <c r="J10" s="211">
        <f t="shared" si="3"/>
        <v>111</v>
      </c>
      <c r="K10" s="211">
        <f t="shared" si="3"/>
        <v>-1355</v>
      </c>
      <c r="L10" s="211">
        <f t="shared" si="3"/>
        <v>640</v>
      </c>
      <c r="M10" s="211">
        <f t="shared" si="3"/>
        <v>-620</v>
      </c>
      <c r="N10" s="211">
        <f t="shared" si="3"/>
        <v>1109</v>
      </c>
      <c r="O10" s="211">
        <f t="shared" si="3"/>
        <v>-429</v>
      </c>
      <c r="P10" s="211">
        <f t="shared" si="3"/>
        <v>1991</v>
      </c>
      <c r="Q10" s="211">
        <f t="shared" si="3"/>
        <v>1340</v>
      </c>
      <c r="R10" s="211">
        <f t="shared" si="3"/>
        <v>663</v>
      </c>
      <c r="S10" s="211">
        <f t="shared" si="3"/>
        <v>-223</v>
      </c>
      <c r="T10" s="211">
        <f t="shared" si="3"/>
        <v>123</v>
      </c>
      <c r="U10" s="211">
        <f t="shared" si="3"/>
        <v>558</v>
      </c>
      <c r="V10" s="211">
        <f t="shared" si="3"/>
        <v>207</v>
      </c>
      <c r="W10" s="211">
        <f t="shared" si="3"/>
        <v>47</v>
      </c>
      <c r="X10" s="211">
        <f t="shared" si="3"/>
        <v>-21</v>
      </c>
    </row>
    <row r="11" spans="1:74" s="57" customFormat="1" ht="18" customHeight="1" x14ac:dyDescent="0.35">
      <c r="A11" s="308"/>
      <c r="B11" s="223" t="s">
        <v>198</v>
      </c>
      <c r="C11" s="222">
        <v>176407</v>
      </c>
      <c r="D11" s="222">
        <v>5896</v>
      </c>
      <c r="E11" s="222">
        <v>8450</v>
      </c>
      <c r="F11" s="222">
        <v>8922</v>
      </c>
      <c r="G11" s="222">
        <v>8059</v>
      </c>
      <c r="H11" s="222">
        <v>8822</v>
      </c>
      <c r="I11" s="222">
        <v>9820</v>
      </c>
      <c r="J11" s="222">
        <v>10128</v>
      </c>
      <c r="K11" s="222">
        <v>11021</v>
      </c>
      <c r="L11" s="222">
        <v>13820</v>
      </c>
      <c r="M11" s="222">
        <v>13983</v>
      </c>
      <c r="N11" s="222">
        <v>15125</v>
      </c>
      <c r="O11" s="222">
        <v>13684</v>
      </c>
      <c r="P11" s="222">
        <v>14179</v>
      </c>
      <c r="Q11" s="222">
        <v>10120</v>
      </c>
      <c r="R11" s="222">
        <v>8130</v>
      </c>
      <c r="S11" s="222">
        <v>6010</v>
      </c>
      <c r="T11" s="222">
        <v>5279</v>
      </c>
      <c r="U11" s="222">
        <v>3466</v>
      </c>
      <c r="V11" s="222">
        <v>1199</v>
      </c>
      <c r="W11" s="222">
        <v>249</v>
      </c>
      <c r="X11" s="222">
        <v>45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spans="1:74" ht="18" customHeight="1" x14ac:dyDescent="0.35">
      <c r="A12" s="308"/>
      <c r="B12" s="210" t="s">
        <v>232</v>
      </c>
      <c r="C12" s="211">
        <f>C11-C9</f>
        <v>-45</v>
      </c>
      <c r="D12" s="211">
        <f t="shared" ref="D12:X12" si="4">D11-D9</f>
        <v>-76</v>
      </c>
      <c r="E12" s="211">
        <f t="shared" si="4"/>
        <v>-44</v>
      </c>
      <c r="F12" s="211">
        <f t="shared" si="4"/>
        <v>-20</v>
      </c>
      <c r="G12" s="211">
        <f t="shared" si="4"/>
        <v>0</v>
      </c>
      <c r="H12" s="211">
        <f t="shared" si="4"/>
        <v>-75</v>
      </c>
      <c r="I12" s="211">
        <f t="shared" si="4"/>
        <v>7</v>
      </c>
      <c r="J12" s="211">
        <f t="shared" si="4"/>
        <v>12</v>
      </c>
      <c r="K12" s="211">
        <f t="shared" si="4"/>
        <v>-148</v>
      </c>
      <c r="L12" s="211">
        <f t="shared" si="4"/>
        <v>110</v>
      </c>
      <c r="M12" s="211">
        <f t="shared" si="4"/>
        <v>-110</v>
      </c>
      <c r="N12" s="211">
        <f t="shared" si="4"/>
        <v>30</v>
      </c>
      <c r="O12" s="211">
        <f t="shared" si="4"/>
        <v>14</v>
      </c>
      <c r="P12" s="211">
        <f t="shared" si="4"/>
        <v>60</v>
      </c>
      <c r="Q12" s="211">
        <f t="shared" si="4"/>
        <v>37</v>
      </c>
      <c r="R12" s="211">
        <f t="shared" si="4"/>
        <v>134</v>
      </c>
      <c r="S12" s="211">
        <f t="shared" si="4"/>
        <v>-12</v>
      </c>
      <c r="T12" s="211">
        <f t="shared" si="4"/>
        <v>16</v>
      </c>
      <c r="U12" s="211">
        <f t="shared" si="4"/>
        <v>-20</v>
      </c>
      <c r="V12" s="211">
        <f t="shared" si="4"/>
        <v>54</v>
      </c>
      <c r="W12" s="211">
        <f t="shared" si="4"/>
        <v>-16</v>
      </c>
      <c r="X12" s="211">
        <f t="shared" si="4"/>
        <v>2</v>
      </c>
    </row>
    <row r="13" spans="1:74" s="57" customFormat="1" ht="18" customHeight="1" x14ac:dyDescent="0.35">
      <c r="A13" s="308"/>
      <c r="B13" s="223" t="s">
        <v>199</v>
      </c>
      <c r="C13" s="222">
        <v>175650</v>
      </c>
      <c r="D13" s="222">
        <v>4994</v>
      </c>
      <c r="E13" s="222">
        <v>7448</v>
      </c>
      <c r="F13" s="222">
        <v>8734</v>
      </c>
      <c r="G13" s="222">
        <v>8159</v>
      </c>
      <c r="H13" s="222">
        <v>7795</v>
      </c>
      <c r="I13" s="222">
        <v>9378</v>
      </c>
      <c r="J13" s="222">
        <v>10283</v>
      </c>
      <c r="K13" s="222">
        <v>10048</v>
      </c>
      <c r="L13" s="222">
        <v>13433</v>
      </c>
      <c r="M13" s="222">
        <v>13351</v>
      </c>
      <c r="N13" s="222">
        <v>15373</v>
      </c>
      <c r="O13" s="222">
        <v>14664</v>
      </c>
      <c r="P13" s="222">
        <v>14639</v>
      </c>
      <c r="Q13" s="222">
        <v>11725</v>
      </c>
      <c r="R13" s="222">
        <v>8332</v>
      </c>
      <c r="S13" s="222">
        <v>6328</v>
      </c>
      <c r="T13" s="222">
        <v>5415</v>
      </c>
      <c r="U13" s="222">
        <v>3760</v>
      </c>
      <c r="V13" s="222">
        <v>1467</v>
      </c>
      <c r="W13" s="222">
        <v>275</v>
      </c>
      <c r="X13" s="222">
        <v>49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</row>
    <row r="14" spans="1:74" ht="18" customHeight="1" x14ac:dyDescent="0.35">
      <c r="A14" s="308"/>
      <c r="B14" s="210" t="s">
        <v>233</v>
      </c>
      <c r="C14" s="211">
        <f>C13-C11</f>
        <v>-757</v>
      </c>
      <c r="D14" s="211">
        <f t="shared" ref="D14:X14" si="5">D13-D11</f>
        <v>-902</v>
      </c>
      <c r="E14" s="211">
        <f t="shared" si="5"/>
        <v>-1002</v>
      </c>
      <c r="F14" s="211">
        <f t="shared" si="5"/>
        <v>-188</v>
      </c>
      <c r="G14" s="211">
        <f t="shared" si="5"/>
        <v>100</v>
      </c>
      <c r="H14" s="211">
        <f t="shared" si="5"/>
        <v>-1027</v>
      </c>
      <c r="I14" s="211">
        <f t="shared" si="5"/>
        <v>-442</v>
      </c>
      <c r="J14" s="211">
        <f t="shared" si="5"/>
        <v>155</v>
      </c>
      <c r="K14" s="211">
        <f t="shared" si="5"/>
        <v>-973</v>
      </c>
      <c r="L14" s="211">
        <f t="shared" si="5"/>
        <v>-387</v>
      </c>
      <c r="M14" s="211">
        <f t="shared" si="5"/>
        <v>-632</v>
      </c>
      <c r="N14" s="211">
        <f t="shared" si="5"/>
        <v>248</v>
      </c>
      <c r="O14" s="211">
        <f t="shared" si="5"/>
        <v>980</v>
      </c>
      <c r="P14" s="211">
        <f t="shared" si="5"/>
        <v>460</v>
      </c>
      <c r="Q14" s="211">
        <f t="shared" si="5"/>
        <v>1605</v>
      </c>
      <c r="R14" s="211">
        <f t="shared" si="5"/>
        <v>202</v>
      </c>
      <c r="S14" s="211">
        <f t="shared" si="5"/>
        <v>318</v>
      </c>
      <c r="T14" s="211">
        <f t="shared" si="5"/>
        <v>136</v>
      </c>
      <c r="U14" s="211">
        <f t="shared" si="5"/>
        <v>294</v>
      </c>
      <c r="V14" s="211">
        <f t="shared" si="5"/>
        <v>268</v>
      </c>
      <c r="W14" s="211">
        <f t="shared" si="5"/>
        <v>26</v>
      </c>
      <c r="X14" s="211">
        <f t="shared" si="5"/>
        <v>4</v>
      </c>
    </row>
    <row r="15" spans="1:74" s="57" customFormat="1" ht="18" customHeight="1" x14ac:dyDescent="0.35">
      <c r="A15" s="308"/>
      <c r="B15" s="223" t="s">
        <v>201</v>
      </c>
      <c r="C15" s="222">
        <v>173522</v>
      </c>
      <c r="D15" s="222">
        <v>4499</v>
      </c>
      <c r="E15" s="222">
        <v>6697</v>
      </c>
      <c r="F15" s="222">
        <v>8577</v>
      </c>
      <c r="G15" s="222">
        <v>8222</v>
      </c>
      <c r="H15" s="222">
        <v>7232</v>
      </c>
      <c r="I15" s="222">
        <v>8998</v>
      </c>
      <c r="J15" s="222">
        <v>9912</v>
      </c>
      <c r="K15" s="222">
        <v>9750</v>
      </c>
      <c r="L15" s="222">
        <v>12488</v>
      </c>
      <c r="M15" s="222">
        <v>13318</v>
      </c>
      <c r="N15" s="222">
        <v>15199</v>
      </c>
      <c r="O15" s="222">
        <v>14631</v>
      </c>
      <c r="P15" s="222">
        <v>14645</v>
      </c>
      <c r="Q15" s="222">
        <v>12466</v>
      </c>
      <c r="R15" s="222">
        <v>8791</v>
      </c>
      <c r="S15" s="222">
        <v>6917</v>
      </c>
      <c r="T15" s="222">
        <v>5345</v>
      </c>
      <c r="U15" s="222">
        <v>3817</v>
      </c>
      <c r="V15" s="222">
        <v>1642</v>
      </c>
      <c r="W15" s="222">
        <v>325</v>
      </c>
      <c r="X15" s="222">
        <v>51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</row>
    <row r="16" spans="1:74" ht="18" customHeight="1" x14ac:dyDescent="0.35">
      <c r="A16" s="308"/>
      <c r="B16" s="210" t="s">
        <v>234</v>
      </c>
      <c r="C16" s="211">
        <f>C15-C13</f>
        <v>-2128</v>
      </c>
      <c r="D16" s="211">
        <f t="shared" ref="D16:X16" si="6">D15-D13</f>
        <v>-495</v>
      </c>
      <c r="E16" s="211">
        <f t="shared" si="6"/>
        <v>-751</v>
      </c>
      <c r="F16" s="211">
        <f t="shared" si="6"/>
        <v>-157</v>
      </c>
      <c r="G16" s="211">
        <f t="shared" si="6"/>
        <v>63</v>
      </c>
      <c r="H16" s="211">
        <f t="shared" si="6"/>
        <v>-563</v>
      </c>
      <c r="I16" s="211">
        <f t="shared" si="6"/>
        <v>-380</v>
      </c>
      <c r="J16" s="211">
        <f t="shared" si="6"/>
        <v>-371</v>
      </c>
      <c r="K16" s="211">
        <f t="shared" si="6"/>
        <v>-298</v>
      </c>
      <c r="L16" s="211">
        <f t="shared" si="6"/>
        <v>-945</v>
      </c>
      <c r="M16" s="211">
        <f t="shared" si="6"/>
        <v>-33</v>
      </c>
      <c r="N16" s="211">
        <f t="shared" si="6"/>
        <v>-174</v>
      </c>
      <c r="O16" s="211">
        <f t="shared" si="6"/>
        <v>-33</v>
      </c>
      <c r="P16" s="211">
        <f t="shared" si="6"/>
        <v>6</v>
      </c>
      <c r="Q16" s="211">
        <f t="shared" si="6"/>
        <v>741</v>
      </c>
      <c r="R16" s="211">
        <f t="shared" si="6"/>
        <v>459</v>
      </c>
      <c r="S16" s="211">
        <f t="shared" si="6"/>
        <v>589</v>
      </c>
      <c r="T16" s="211">
        <f t="shared" si="6"/>
        <v>-70</v>
      </c>
      <c r="U16" s="211">
        <f t="shared" si="6"/>
        <v>57</v>
      </c>
      <c r="V16" s="211">
        <f t="shared" si="6"/>
        <v>175</v>
      </c>
      <c r="W16" s="211">
        <f t="shared" si="6"/>
        <v>50</v>
      </c>
      <c r="X16" s="211">
        <f t="shared" si="6"/>
        <v>2</v>
      </c>
    </row>
    <row r="17" spans="1:74" s="57" customFormat="1" ht="18" customHeight="1" x14ac:dyDescent="0.35">
      <c r="A17" s="308"/>
      <c r="B17" s="223" t="s">
        <v>202</v>
      </c>
      <c r="C17" s="222">
        <v>171306</v>
      </c>
      <c r="D17" s="222">
        <v>4244</v>
      </c>
      <c r="E17" s="222">
        <v>5867</v>
      </c>
      <c r="F17" s="222">
        <v>8241</v>
      </c>
      <c r="G17" s="222">
        <v>8342</v>
      </c>
      <c r="H17" s="222">
        <v>6431</v>
      </c>
      <c r="I17" s="222">
        <v>8628</v>
      </c>
      <c r="J17" s="222">
        <v>9705</v>
      </c>
      <c r="K17" s="222">
        <v>9595</v>
      </c>
      <c r="L17" s="222">
        <v>11483</v>
      </c>
      <c r="M17" s="222">
        <v>13196</v>
      </c>
      <c r="N17" s="222">
        <v>14603</v>
      </c>
      <c r="O17" s="222">
        <v>15189</v>
      </c>
      <c r="P17" s="222">
        <v>13994</v>
      </c>
      <c r="Q17" s="222">
        <v>13680</v>
      </c>
      <c r="R17" s="222">
        <v>9507</v>
      </c>
      <c r="S17" s="222">
        <v>7381</v>
      </c>
      <c r="T17" s="222">
        <v>5264</v>
      </c>
      <c r="U17" s="222">
        <v>3650</v>
      </c>
      <c r="V17" s="222">
        <v>1897</v>
      </c>
      <c r="W17" s="222">
        <v>361</v>
      </c>
      <c r="X17" s="222">
        <v>48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</row>
    <row r="18" spans="1:74" ht="18" customHeight="1" x14ac:dyDescent="0.35">
      <c r="A18" s="309"/>
      <c r="B18" s="79" t="s">
        <v>235</v>
      </c>
      <c r="C18" s="211">
        <f>C17-C15</f>
        <v>-2216</v>
      </c>
      <c r="D18" s="211">
        <f t="shared" ref="D18:X18" si="7">D17-D15</f>
        <v>-255</v>
      </c>
      <c r="E18" s="211">
        <f t="shared" si="7"/>
        <v>-830</v>
      </c>
      <c r="F18" s="211">
        <f t="shared" si="7"/>
        <v>-336</v>
      </c>
      <c r="G18" s="211">
        <f t="shared" si="7"/>
        <v>120</v>
      </c>
      <c r="H18" s="211">
        <f t="shared" si="7"/>
        <v>-801</v>
      </c>
      <c r="I18" s="211">
        <f t="shared" si="7"/>
        <v>-370</v>
      </c>
      <c r="J18" s="211">
        <f t="shared" si="7"/>
        <v>-207</v>
      </c>
      <c r="K18" s="211">
        <f t="shared" si="7"/>
        <v>-155</v>
      </c>
      <c r="L18" s="211">
        <f t="shared" si="7"/>
        <v>-1005</v>
      </c>
      <c r="M18" s="211">
        <f t="shared" si="7"/>
        <v>-122</v>
      </c>
      <c r="N18" s="211">
        <f t="shared" si="7"/>
        <v>-596</v>
      </c>
      <c r="O18" s="211">
        <f t="shared" si="7"/>
        <v>558</v>
      </c>
      <c r="P18" s="211">
        <f t="shared" si="7"/>
        <v>-651</v>
      </c>
      <c r="Q18" s="211">
        <f t="shared" si="7"/>
        <v>1214</v>
      </c>
      <c r="R18" s="211">
        <f t="shared" si="7"/>
        <v>716</v>
      </c>
      <c r="S18" s="211">
        <f t="shared" si="7"/>
        <v>464</v>
      </c>
      <c r="T18" s="211">
        <f t="shared" si="7"/>
        <v>-81</v>
      </c>
      <c r="U18" s="211">
        <f t="shared" si="7"/>
        <v>-167</v>
      </c>
      <c r="V18" s="211">
        <f t="shared" si="7"/>
        <v>255</v>
      </c>
      <c r="W18" s="211">
        <f t="shared" si="7"/>
        <v>36</v>
      </c>
      <c r="X18" s="211">
        <f t="shared" si="7"/>
        <v>-3</v>
      </c>
    </row>
    <row r="19" spans="1:74" customFormat="1" ht="12" customHeight="1" x14ac:dyDescent="0.4"/>
    <row r="20" spans="1:74" ht="18" customHeight="1" x14ac:dyDescent="0.4">
      <c r="B20" s="79" t="s">
        <v>236</v>
      </c>
      <c r="C20" s="43">
        <f>C17-C2</f>
        <v>1283</v>
      </c>
      <c r="D20" s="43">
        <f t="shared" ref="D20:X20" si="8">D17-D2</f>
        <v>-4246</v>
      </c>
      <c r="E20" s="43">
        <f t="shared" si="8"/>
        <v>-2992</v>
      </c>
      <c r="F20" s="43">
        <f t="shared" si="8"/>
        <v>-373</v>
      </c>
      <c r="G20" s="43">
        <f t="shared" si="8"/>
        <v>-2457</v>
      </c>
      <c r="H20" s="43">
        <f t="shared" si="8"/>
        <v>-3498</v>
      </c>
      <c r="I20" s="43">
        <f t="shared" si="8"/>
        <v>-382</v>
      </c>
      <c r="J20" s="43">
        <f t="shared" si="8"/>
        <v>-1482</v>
      </c>
      <c r="K20" s="43">
        <f t="shared" si="8"/>
        <v>-3226</v>
      </c>
      <c r="L20" s="43">
        <f t="shared" si="8"/>
        <v>-2654</v>
      </c>
      <c r="M20" s="43">
        <f t="shared" si="8"/>
        <v>-803</v>
      </c>
      <c r="N20" s="43">
        <f t="shared" si="8"/>
        <v>1467</v>
      </c>
      <c r="O20" s="43">
        <f t="shared" si="8"/>
        <v>2720</v>
      </c>
      <c r="P20" s="43">
        <f t="shared" si="8"/>
        <v>4852</v>
      </c>
      <c r="Q20" s="43">
        <f t="shared" si="8"/>
        <v>5801</v>
      </c>
      <c r="R20" s="43">
        <f t="shared" si="8"/>
        <v>2847</v>
      </c>
      <c r="S20" s="43">
        <f t="shared" si="8"/>
        <v>1622</v>
      </c>
      <c r="T20" s="43">
        <f t="shared" si="8"/>
        <v>818</v>
      </c>
      <c r="U20" s="43">
        <f t="shared" si="8"/>
        <v>1863</v>
      </c>
      <c r="V20" s="43">
        <f t="shared" si="8"/>
        <v>1197</v>
      </c>
      <c r="W20" s="43">
        <f t="shared" si="8"/>
        <v>210</v>
      </c>
      <c r="X20" s="43">
        <f t="shared" si="8"/>
        <v>-1</v>
      </c>
    </row>
    <row r="21" spans="1:74" ht="18" customHeight="1" x14ac:dyDescent="0.4">
      <c r="B21" s="79" t="s">
        <v>237</v>
      </c>
      <c r="C21" s="43">
        <f>C17-C5</f>
        <v>-984</v>
      </c>
      <c r="D21" s="43">
        <f t="shared" ref="D21:X21" si="9">D17-D5</f>
        <v>-3558</v>
      </c>
      <c r="E21" s="43">
        <f t="shared" si="9"/>
        <v>-2848</v>
      </c>
      <c r="F21" s="43">
        <f t="shared" si="9"/>
        <v>-156</v>
      </c>
      <c r="G21" s="43">
        <f t="shared" si="9"/>
        <v>-1755</v>
      </c>
      <c r="H21" s="43">
        <f t="shared" si="9"/>
        <v>-3349</v>
      </c>
      <c r="I21" s="43">
        <f t="shared" si="9"/>
        <v>-879</v>
      </c>
      <c r="J21" s="43">
        <f t="shared" si="9"/>
        <v>-329</v>
      </c>
      <c r="K21" s="43">
        <f t="shared" si="9"/>
        <v>-3507</v>
      </c>
      <c r="L21" s="43">
        <f t="shared" si="9"/>
        <v>-1711</v>
      </c>
      <c r="M21" s="43">
        <f t="shared" si="9"/>
        <v>-1519</v>
      </c>
      <c r="N21" s="43">
        <f t="shared" si="9"/>
        <v>1509</v>
      </c>
      <c r="O21" s="43">
        <f t="shared" si="9"/>
        <v>1201</v>
      </c>
      <c r="P21" s="43">
        <f t="shared" si="9"/>
        <v>3555</v>
      </c>
      <c r="Q21" s="43">
        <f t="shared" si="9"/>
        <v>5274</v>
      </c>
      <c r="R21" s="43">
        <f t="shared" si="9"/>
        <v>3062</v>
      </c>
      <c r="S21" s="43">
        <f t="shared" si="9"/>
        <v>1022</v>
      </c>
      <c r="T21" s="43">
        <f t="shared" si="9"/>
        <v>451</v>
      </c>
      <c r="U21" s="43">
        <f t="shared" si="9"/>
        <v>1255</v>
      </c>
      <c r="V21" s="43">
        <f t="shared" si="9"/>
        <v>1142</v>
      </c>
      <c r="W21" s="43">
        <f t="shared" si="9"/>
        <v>169</v>
      </c>
      <c r="X21" s="43">
        <f t="shared" si="9"/>
        <v>-13</v>
      </c>
    </row>
    <row r="22" spans="1:74" ht="111.6" customHeight="1" x14ac:dyDescent="0.4"/>
    <row r="23" spans="1:74" ht="27" customHeight="1" x14ac:dyDescent="0.4">
      <c r="A23" s="223" t="s">
        <v>276</v>
      </c>
      <c r="B23" s="223" t="s">
        <v>171</v>
      </c>
      <c r="C23" s="223" t="s">
        <v>11</v>
      </c>
      <c r="D23" s="223" t="s">
        <v>266</v>
      </c>
      <c r="E23" s="223" t="s">
        <v>267</v>
      </c>
      <c r="F23" s="223" t="s">
        <v>268</v>
      </c>
      <c r="G23" s="223" t="s">
        <v>269</v>
      </c>
      <c r="H23" s="223" t="s">
        <v>270</v>
      </c>
      <c r="I23" s="223" t="s">
        <v>271</v>
      </c>
      <c r="J23" s="223" t="s">
        <v>272</v>
      </c>
      <c r="K23" s="223" t="s">
        <v>273</v>
      </c>
      <c r="L23" s="223" t="s">
        <v>274</v>
      </c>
      <c r="M23" s="223" t="s">
        <v>275</v>
      </c>
      <c r="N23" s="223" t="s">
        <v>192</v>
      </c>
    </row>
    <row r="24" spans="1:74" s="57" customFormat="1" ht="18" customHeight="1" x14ac:dyDescent="0.35">
      <c r="A24" s="310" t="s">
        <v>240</v>
      </c>
      <c r="B24" s="223" t="s">
        <v>193</v>
      </c>
      <c r="C24" s="242">
        <f>SUM(D24:N24)</f>
        <v>170023</v>
      </c>
      <c r="D24" s="244">
        <f>D2+E2</f>
        <v>17349</v>
      </c>
      <c r="E24" s="244">
        <f>F2+G2</f>
        <v>19413</v>
      </c>
      <c r="F24" s="244">
        <f>H2+I2</f>
        <v>18939</v>
      </c>
      <c r="G24" s="244">
        <f>J2+K2</f>
        <v>24008</v>
      </c>
      <c r="H24" s="244">
        <f>L2+M2</f>
        <v>28136</v>
      </c>
      <c r="I24" s="244">
        <f>N2+O2</f>
        <v>25605</v>
      </c>
      <c r="J24" s="244">
        <f>P2+Q2</f>
        <v>17021</v>
      </c>
      <c r="K24" s="244">
        <f>R2+S2</f>
        <v>12419</v>
      </c>
      <c r="L24" s="244">
        <f>T2+U2</f>
        <v>6233</v>
      </c>
      <c r="M24" s="244">
        <f>V2+W2</f>
        <v>851</v>
      </c>
      <c r="N24" s="242">
        <v>49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</row>
    <row r="25" spans="1:74" s="57" customFormat="1" ht="18" customHeight="1" x14ac:dyDescent="0.35">
      <c r="A25" s="310"/>
      <c r="B25" s="223" t="s">
        <v>194</v>
      </c>
      <c r="C25" s="242">
        <f t="shared" ref="C25:C40" si="10">SUM(D25:N25)</f>
        <v>171012</v>
      </c>
      <c r="D25" s="244">
        <f t="shared" ref="D25:D40" si="11">D3+E3</f>
        <v>17097</v>
      </c>
      <c r="E25" s="244">
        <f t="shared" ref="E25:E40" si="12">F3+G3</f>
        <v>18850</v>
      </c>
      <c r="F25" s="244">
        <f t="shared" ref="F25:F40" si="13">H3+I3</f>
        <v>19094</v>
      </c>
      <c r="G25" s="244">
        <f t="shared" ref="G25:G40" si="14">J3+K3</f>
        <v>23622</v>
      </c>
      <c r="H25" s="244">
        <f t="shared" ref="H25:H40" si="15">L3+M3</f>
        <v>27902</v>
      </c>
      <c r="I25" s="244">
        <f t="shared" ref="I25:I40" si="16">N3+O3</f>
        <v>26334</v>
      </c>
      <c r="J25" s="244">
        <f t="shared" ref="J25:J40" si="17">P3+Q3</f>
        <v>17879</v>
      </c>
      <c r="K25" s="244">
        <f t="shared" ref="K25:K40" si="18">R3+S3</f>
        <v>12553</v>
      </c>
      <c r="L25" s="244">
        <f t="shared" ref="L25:L40" si="19">T3+U3</f>
        <v>6709</v>
      </c>
      <c r="M25" s="244">
        <f t="shared" ref="M25:M40" si="20">V3+W3</f>
        <v>918</v>
      </c>
      <c r="N25" s="242">
        <v>54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</row>
    <row r="26" spans="1:74" s="245" customFormat="1" ht="18" customHeight="1" x14ac:dyDescent="0.35">
      <c r="A26" s="310"/>
      <c r="B26" s="210" t="s">
        <v>229</v>
      </c>
      <c r="C26" s="211">
        <f t="shared" si="10"/>
        <v>989</v>
      </c>
      <c r="D26" s="246">
        <f t="shared" si="11"/>
        <v>-252</v>
      </c>
      <c r="E26" s="246">
        <f t="shared" si="12"/>
        <v>-563</v>
      </c>
      <c r="F26" s="246">
        <f t="shared" si="13"/>
        <v>155</v>
      </c>
      <c r="G26" s="246">
        <f t="shared" si="14"/>
        <v>-386</v>
      </c>
      <c r="H26" s="246">
        <f t="shared" si="15"/>
        <v>-234</v>
      </c>
      <c r="I26" s="246">
        <f t="shared" si="16"/>
        <v>729</v>
      </c>
      <c r="J26" s="246">
        <f t="shared" si="17"/>
        <v>858</v>
      </c>
      <c r="K26" s="246">
        <f t="shared" si="18"/>
        <v>134</v>
      </c>
      <c r="L26" s="246">
        <f t="shared" si="19"/>
        <v>476</v>
      </c>
      <c r="M26" s="246">
        <f t="shared" si="20"/>
        <v>67</v>
      </c>
      <c r="N26" s="211">
        <f t="shared" ref="N26" si="21">N25-N24</f>
        <v>5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</row>
    <row r="27" spans="1:74" s="57" customFormat="1" ht="18" customHeight="1" x14ac:dyDescent="0.35">
      <c r="A27" s="310"/>
      <c r="B27" s="223" t="s">
        <v>195</v>
      </c>
      <c r="C27" s="242">
        <f t="shared" si="10"/>
        <v>172290</v>
      </c>
      <c r="D27" s="244">
        <f t="shared" si="11"/>
        <v>16517</v>
      </c>
      <c r="E27" s="244">
        <f t="shared" si="12"/>
        <v>18494</v>
      </c>
      <c r="F27" s="244">
        <f t="shared" si="13"/>
        <v>19287</v>
      </c>
      <c r="G27" s="244">
        <f t="shared" si="14"/>
        <v>23136</v>
      </c>
      <c r="H27" s="244">
        <f t="shared" si="15"/>
        <v>27909</v>
      </c>
      <c r="I27" s="244">
        <f t="shared" si="16"/>
        <v>27082</v>
      </c>
      <c r="J27" s="244">
        <f t="shared" si="17"/>
        <v>18845</v>
      </c>
      <c r="K27" s="244">
        <f t="shared" si="18"/>
        <v>12804</v>
      </c>
      <c r="L27" s="244">
        <f t="shared" si="19"/>
        <v>7208</v>
      </c>
      <c r="M27" s="244">
        <f t="shared" si="20"/>
        <v>947</v>
      </c>
      <c r="N27" s="242">
        <v>61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</row>
    <row r="28" spans="1:74" s="245" customFormat="1" ht="18" customHeight="1" x14ac:dyDescent="0.35">
      <c r="A28" s="310"/>
      <c r="B28" s="210" t="s">
        <v>230</v>
      </c>
      <c r="C28" s="211">
        <f t="shared" si="10"/>
        <v>1278</v>
      </c>
      <c r="D28" s="246">
        <f t="shared" si="11"/>
        <v>-580</v>
      </c>
      <c r="E28" s="246">
        <f t="shared" si="12"/>
        <v>-356</v>
      </c>
      <c r="F28" s="246">
        <f t="shared" si="13"/>
        <v>193</v>
      </c>
      <c r="G28" s="246">
        <f t="shared" si="14"/>
        <v>-486</v>
      </c>
      <c r="H28" s="246">
        <f t="shared" si="15"/>
        <v>7</v>
      </c>
      <c r="I28" s="246">
        <f t="shared" si="16"/>
        <v>748</v>
      </c>
      <c r="J28" s="246">
        <f t="shared" si="17"/>
        <v>966</v>
      </c>
      <c r="K28" s="246">
        <f t="shared" si="18"/>
        <v>251</v>
      </c>
      <c r="L28" s="246">
        <f t="shared" si="19"/>
        <v>499</v>
      </c>
      <c r="M28" s="246">
        <f t="shared" si="20"/>
        <v>29</v>
      </c>
      <c r="N28" s="211">
        <f t="shared" ref="N28" si="22">N27-N25</f>
        <v>7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</row>
    <row r="29" spans="1:74" s="57" customFormat="1" ht="18" customHeight="1" x14ac:dyDescent="0.35">
      <c r="A29" s="310"/>
      <c r="B29" s="223" t="s">
        <v>196</v>
      </c>
      <c r="C29" s="242">
        <f t="shared" si="10"/>
        <v>174629</v>
      </c>
      <c r="D29" s="244">
        <f t="shared" si="11"/>
        <v>15815</v>
      </c>
      <c r="E29" s="244">
        <f t="shared" si="12"/>
        <v>17507</v>
      </c>
      <c r="F29" s="244">
        <f t="shared" si="13"/>
        <v>19173</v>
      </c>
      <c r="G29" s="244">
        <f t="shared" si="14"/>
        <v>22529</v>
      </c>
      <c r="H29" s="244">
        <f t="shared" si="15"/>
        <v>27783</v>
      </c>
      <c r="I29" s="244">
        <f t="shared" si="16"/>
        <v>28085</v>
      </c>
      <c r="J29" s="244">
        <f t="shared" si="17"/>
        <v>20871</v>
      </c>
      <c r="K29" s="244">
        <f t="shared" si="18"/>
        <v>13578</v>
      </c>
      <c r="L29" s="244">
        <f t="shared" si="19"/>
        <v>8068</v>
      </c>
      <c r="M29" s="244">
        <f t="shared" si="20"/>
        <v>1156</v>
      </c>
      <c r="N29" s="242">
        <v>64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</row>
    <row r="30" spans="1:74" s="245" customFormat="1" ht="18" customHeight="1" x14ac:dyDescent="0.35">
      <c r="A30" s="310"/>
      <c r="B30" s="210" t="s">
        <v>231</v>
      </c>
      <c r="C30" s="211">
        <f t="shared" si="10"/>
        <v>2339</v>
      </c>
      <c r="D30" s="246">
        <f t="shared" si="11"/>
        <v>-702</v>
      </c>
      <c r="E30" s="246">
        <f t="shared" si="12"/>
        <v>-987</v>
      </c>
      <c r="F30" s="246">
        <f t="shared" si="13"/>
        <v>-114</v>
      </c>
      <c r="G30" s="246">
        <f t="shared" si="14"/>
        <v>-607</v>
      </c>
      <c r="H30" s="246">
        <f t="shared" si="15"/>
        <v>-126</v>
      </c>
      <c r="I30" s="246">
        <f t="shared" si="16"/>
        <v>1003</v>
      </c>
      <c r="J30" s="246">
        <f t="shared" si="17"/>
        <v>2026</v>
      </c>
      <c r="K30" s="246">
        <f t="shared" si="18"/>
        <v>774</v>
      </c>
      <c r="L30" s="246">
        <f t="shared" si="19"/>
        <v>860</v>
      </c>
      <c r="M30" s="246">
        <f t="shared" si="20"/>
        <v>209</v>
      </c>
      <c r="N30" s="211">
        <f t="shared" ref="N30" si="23">N29-N27</f>
        <v>3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</row>
    <row r="31" spans="1:74" s="57" customFormat="1" ht="18" customHeight="1" x14ac:dyDescent="0.35">
      <c r="A31" s="310"/>
      <c r="B31" s="239" t="s">
        <v>197</v>
      </c>
      <c r="C31" s="247">
        <f t="shared" si="10"/>
        <v>176452</v>
      </c>
      <c r="D31" s="248">
        <f t="shared" si="11"/>
        <v>14466</v>
      </c>
      <c r="E31" s="248">
        <f t="shared" si="12"/>
        <v>17001</v>
      </c>
      <c r="F31" s="248">
        <f t="shared" si="13"/>
        <v>18710</v>
      </c>
      <c r="G31" s="248">
        <f t="shared" si="14"/>
        <v>21285</v>
      </c>
      <c r="H31" s="248">
        <f t="shared" si="15"/>
        <v>27803</v>
      </c>
      <c r="I31" s="248">
        <f t="shared" si="16"/>
        <v>28765</v>
      </c>
      <c r="J31" s="248">
        <f t="shared" si="17"/>
        <v>24202</v>
      </c>
      <c r="K31" s="248">
        <f t="shared" si="18"/>
        <v>14018</v>
      </c>
      <c r="L31" s="248">
        <f t="shared" si="19"/>
        <v>8749</v>
      </c>
      <c r="M31" s="248">
        <f t="shared" si="20"/>
        <v>1410</v>
      </c>
      <c r="N31" s="247">
        <v>43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spans="1:74" s="245" customFormat="1" ht="18" customHeight="1" x14ac:dyDescent="0.35">
      <c r="A32" s="310"/>
      <c r="B32" s="210" t="s">
        <v>228</v>
      </c>
      <c r="C32" s="211">
        <f t="shared" si="10"/>
        <v>1823</v>
      </c>
      <c r="D32" s="246">
        <f t="shared" si="11"/>
        <v>-1349</v>
      </c>
      <c r="E32" s="246">
        <f t="shared" si="12"/>
        <v>-506</v>
      </c>
      <c r="F32" s="246">
        <f t="shared" si="13"/>
        <v>-463</v>
      </c>
      <c r="G32" s="246">
        <f t="shared" si="14"/>
        <v>-1244</v>
      </c>
      <c r="H32" s="246">
        <f t="shared" si="15"/>
        <v>20</v>
      </c>
      <c r="I32" s="246">
        <f t="shared" si="16"/>
        <v>680</v>
      </c>
      <c r="J32" s="246">
        <f t="shared" si="17"/>
        <v>3331</v>
      </c>
      <c r="K32" s="246">
        <f t="shared" si="18"/>
        <v>440</v>
      </c>
      <c r="L32" s="246">
        <f t="shared" si="19"/>
        <v>681</v>
      </c>
      <c r="M32" s="246">
        <f t="shared" si="20"/>
        <v>254</v>
      </c>
      <c r="N32" s="211">
        <f t="shared" ref="N32" si="24">N31-N29</f>
        <v>-21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</row>
    <row r="33" spans="1:74" s="57" customFormat="1" ht="18" customHeight="1" x14ac:dyDescent="0.35">
      <c r="A33" s="310"/>
      <c r="B33" s="240" t="s">
        <v>198</v>
      </c>
      <c r="C33" s="249">
        <f t="shared" si="10"/>
        <v>176407</v>
      </c>
      <c r="D33" s="250">
        <f t="shared" si="11"/>
        <v>14346</v>
      </c>
      <c r="E33" s="250">
        <f t="shared" si="12"/>
        <v>16981</v>
      </c>
      <c r="F33" s="250">
        <f t="shared" si="13"/>
        <v>18642</v>
      </c>
      <c r="G33" s="250">
        <f t="shared" si="14"/>
        <v>21149</v>
      </c>
      <c r="H33" s="250">
        <f t="shared" si="15"/>
        <v>27803</v>
      </c>
      <c r="I33" s="250">
        <f t="shared" si="16"/>
        <v>28809</v>
      </c>
      <c r="J33" s="250">
        <f t="shared" si="17"/>
        <v>24299</v>
      </c>
      <c r="K33" s="250">
        <f t="shared" si="18"/>
        <v>14140</v>
      </c>
      <c r="L33" s="250">
        <f t="shared" si="19"/>
        <v>8745</v>
      </c>
      <c r="M33" s="250">
        <f t="shared" si="20"/>
        <v>1448</v>
      </c>
      <c r="N33" s="249">
        <v>45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</row>
    <row r="34" spans="1:74" s="245" customFormat="1" ht="18" customHeight="1" x14ac:dyDescent="0.35">
      <c r="A34" s="310"/>
      <c r="B34" s="210" t="s">
        <v>232</v>
      </c>
      <c r="C34" s="211">
        <f t="shared" si="10"/>
        <v>-45</v>
      </c>
      <c r="D34" s="246">
        <f t="shared" si="11"/>
        <v>-120</v>
      </c>
      <c r="E34" s="246">
        <f t="shared" si="12"/>
        <v>-20</v>
      </c>
      <c r="F34" s="246">
        <f t="shared" si="13"/>
        <v>-68</v>
      </c>
      <c r="G34" s="246">
        <f t="shared" si="14"/>
        <v>-136</v>
      </c>
      <c r="H34" s="246">
        <f t="shared" si="15"/>
        <v>0</v>
      </c>
      <c r="I34" s="246">
        <f t="shared" si="16"/>
        <v>44</v>
      </c>
      <c r="J34" s="246">
        <f t="shared" si="17"/>
        <v>97</v>
      </c>
      <c r="K34" s="246">
        <f t="shared" si="18"/>
        <v>122</v>
      </c>
      <c r="L34" s="246">
        <f t="shared" si="19"/>
        <v>-4</v>
      </c>
      <c r="M34" s="246">
        <f t="shared" si="20"/>
        <v>38</v>
      </c>
      <c r="N34" s="211">
        <f t="shared" ref="N34" si="25">N33-N31</f>
        <v>2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</row>
    <row r="35" spans="1:74" s="57" customFormat="1" ht="18" customHeight="1" x14ac:dyDescent="0.35">
      <c r="A35" s="310"/>
      <c r="B35" s="223" t="s">
        <v>199</v>
      </c>
      <c r="C35" s="242">
        <f t="shared" si="10"/>
        <v>175650</v>
      </c>
      <c r="D35" s="244">
        <f t="shared" si="11"/>
        <v>12442</v>
      </c>
      <c r="E35" s="244">
        <f t="shared" si="12"/>
        <v>16893</v>
      </c>
      <c r="F35" s="244">
        <f t="shared" si="13"/>
        <v>17173</v>
      </c>
      <c r="G35" s="244">
        <f t="shared" si="14"/>
        <v>20331</v>
      </c>
      <c r="H35" s="244">
        <f t="shared" si="15"/>
        <v>26784</v>
      </c>
      <c r="I35" s="244">
        <f t="shared" si="16"/>
        <v>30037</v>
      </c>
      <c r="J35" s="244">
        <f t="shared" si="17"/>
        <v>26364</v>
      </c>
      <c r="K35" s="244">
        <f t="shared" si="18"/>
        <v>14660</v>
      </c>
      <c r="L35" s="244">
        <f t="shared" si="19"/>
        <v>9175</v>
      </c>
      <c r="M35" s="244">
        <f t="shared" si="20"/>
        <v>1742</v>
      </c>
      <c r="N35" s="242">
        <v>49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</row>
    <row r="36" spans="1:74" s="245" customFormat="1" ht="18" customHeight="1" x14ac:dyDescent="0.35">
      <c r="A36" s="310"/>
      <c r="B36" s="210" t="s">
        <v>233</v>
      </c>
      <c r="C36" s="211">
        <f t="shared" si="10"/>
        <v>-757</v>
      </c>
      <c r="D36" s="246">
        <f t="shared" si="11"/>
        <v>-1904</v>
      </c>
      <c r="E36" s="246">
        <f t="shared" si="12"/>
        <v>-88</v>
      </c>
      <c r="F36" s="246">
        <f t="shared" si="13"/>
        <v>-1469</v>
      </c>
      <c r="G36" s="246">
        <f t="shared" si="14"/>
        <v>-818</v>
      </c>
      <c r="H36" s="246">
        <f t="shared" si="15"/>
        <v>-1019</v>
      </c>
      <c r="I36" s="246">
        <f t="shared" si="16"/>
        <v>1228</v>
      </c>
      <c r="J36" s="246">
        <f t="shared" si="17"/>
        <v>2065</v>
      </c>
      <c r="K36" s="246">
        <f t="shared" si="18"/>
        <v>520</v>
      </c>
      <c r="L36" s="246">
        <f t="shared" si="19"/>
        <v>430</v>
      </c>
      <c r="M36" s="246">
        <f t="shared" si="20"/>
        <v>294</v>
      </c>
      <c r="N36" s="211">
        <f t="shared" ref="N36" si="26">N35-N33</f>
        <v>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</row>
    <row r="37" spans="1:74" s="57" customFormat="1" ht="18" customHeight="1" x14ac:dyDescent="0.35">
      <c r="A37" s="310"/>
      <c r="B37" s="223" t="s">
        <v>201</v>
      </c>
      <c r="C37" s="242">
        <f t="shared" si="10"/>
        <v>173522</v>
      </c>
      <c r="D37" s="244">
        <f t="shared" si="11"/>
        <v>11196</v>
      </c>
      <c r="E37" s="244">
        <f t="shared" si="12"/>
        <v>16799</v>
      </c>
      <c r="F37" s="244">
        <f t="shared" si="13"/>
        <v>16230</v>
      </c>
      <c r="G37" s="244">
        <f t="shared" si="14"/>
        <v>19662</v>
      </c>
      <c r="H37" s="244">
        <f t="shared" si="15"/>
        <v>25806</v>
      </c>
      <c r="I37" s="244">
        <f t="shared" si="16"/>
        <v>29830</v>
      </c>
      <c r="J37" s="244">
        <f t="shared" si="17"/>
        <v>27111</v>
      </c>
      <c r="K37" s="244">
        <f t="shared" si="18"/>
        <v>15708</v>
      </c>
      <c r="L37" s="244">
        <f t="shared" si="19"/>
        <v>9162</v>
      </c>
      <c r="M37" s="244">
        <f t="shared" si="20"/>
        <v>1967</v>
      </c>
      <c r="N37" s="242">
        <v>51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</row>
    <row r="38" spans="1:74" s="245" customFormat="1" ht="18" customHeight="1" x14ac:dyDescent="0.35">
      <c r="A38" s="310"/>
      <c r="B38" s="210" t="s">
        <v>234</v>
      </c>
      <c r="C38" s="211">
        <f t="shared" si="10"/>
        <v>-2128</v>
      </c>
      <c r="D38" s="246">
        <f t="shared" si="11"/>
        <v>-1246</v>
      </c>
      <c r="E38" s="246">
        <f t="shared" si="12"/>
        <v>-94</v>
      </c>
      <c r="F38" s="246">
        <f t="shared" si="13"/>
        <v>-943</v>
      </c>
      <c r="G38" s="246">
        <f t="shared" si="14"/>
        <v>-669</v>
      </c>
      <c r="H38" s="246">
        <f t="shared" si="15"/>
        <v>-978</v>
      </c>
      <c r="I38" s="246">
        <f t="shared" si="16"/>
        <v>-207</v>
      </c>
      <c r="J38" s="246">
        <f t="shared" si="17"/>
        <v>747</v>
      </c>
      <c r="K38" s="246">
        <f t="shared" si="18"/>
        <v>1048</v>
      </c>
      <c r="L38" s="246">
        <f t="shared" si="19"/>
        <v>-13</v>
      </c>
      <c r="M38" s="246">
        <f t="shared" si="20"/>
        <v>225</v>
      </c>
      <c r="N38" s="211">
        <f t="shared" ref="N38" si="27">N37-N35</f>
        <v>2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</row>
    <row r="39" spans="1:74" s="57" customFormat="1" ht="18" customHeight="1" x14ac:dyDescent="0.35">
      <c r="A39" s="310"/>
      <c r="B39" s="223" t="s">
        <v>202</v>
      </c>
      <c r="C39" s="242">
        <f t="shared" si="10"/>
        <v>171306</v>
      </c>
      <c r="D39" s="244">
        <f t="shared" si="11"/>
        <v>10111</v>
      </c>
      <c r="E39" s="244">
        <f t="shared" si="12"/>
        <v>16583</v>
      </c>
      <c r="F39" s="244">
        <f t="shared" si="13"/>
        <v>15059</v>
      </c>
      <c r="G39" s="244">
        <f t="shared" si="14"/>
        <v>19300</v>
      </c>
      <c r="H39" s="244">
        <f t="shared" si="15"/>
        <v>24679</v>
      </c>
      <c r="I39" s="244">
        <f t="shared" si="16"/>
        <v>29792</v>
      </c>
      <c r="J39" s="244">
        <f t="shared" si="17"/>
        <v>27674</v>
      </c>
      <c r="K39" s="244">
        <f t="shared" si="18"/>
        <v>16888</v>
      </c>
      <c r="L39" s="244">
        <f t="shared" si="19"/>
        <v>8914</v>
      </c>
      <c r="M39" s="244">
        <f t="shared" si="20"/>
        <v>2258</v>
      </c>
      <c r="N39" s="242">
        <v>48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</row>
    <row r="40" spans="1:74" s="245" customFormat="1" ht="18" customHeight="1" x14ac:dyDescent="0.35">
      <c r="A40" s="310"/>
      <c r="B40" s="243" t="s">
        <v>235</v>
      </c>
      <c r="C40" s="211">
        <f t="shared" si="10"/>
        <v>-2216</v>
      </c>
      <c r="D40" s="246">
        <f t="shared" si="11"/>
        <v>-1085</v>
      </c>
      <c r="E40" s="246">
        <f t="shared" si="12"/>
        <v>-216</v>
      </c>
      <c r="F40" s="246">
        <f t="shared" si="13"/>
        <v>-1171</v>
      </c>
      <c r="G40" s="246">
        <f t="shared" si="14"/>
        <v>-362</v>
      </c>
      <c r="H40" s="246">
        <f t="shared" si="15"/>
        <v>-1127</v>
      </c>
      <c r="I40" s="246">
        <f t="shared" si="16"/>
        <v>-38</v>
      </c>
      <c r="J40" s="246">
        <f t="shared" si="17"/>
        <v>563</v>
      </c>
      <c r="K40" s="246">
        <f t="shared" si="18"/>
        <v>1180</v>
      </c>
      <c r="L40" s="246">
        <f t="shared" si="19"/>
        <v>-248</v>
      </c>
      <c r="M40" s="246">
        <f t="shared" si="20"/>
        <v>291</v>
      </c>
      <c r="N40" s="211">
        <f t="shared" ref="N40" si="28">N39-N37</f>
        <v>-3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</row>
    <row r="41" spans="1:74" ht="9.6" customHeight="1" x14ac:dyDescent="0.4"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74" ht="18" customHeight="1" x14ac:dyDescent="0.4">
      <c r="B42" s="79" t="s">
        <v>236</v>
      </c>
      <c r="C42" s="43">
        <f>C39-C24</f>
        <v>1283</v>
      </c>
      <c r="D42" s="43">
        <f t="shared" ref="D42:N42" si="29">D39-D24</f>
        <v>-7238</v>
      </c>
      <c r="E42" s="43">
        <f t="shared" si="29"/>
        <v>-2830</v>
      </c>
      <c r="F42" s="43">
        <f t="shared" si="29"/>
        <v>-3880</v>
      </c>
      <c r="G42" s="43">
        <f t="shared" si="29"/>
        <v>-4708</v>
      </c>
      <c r="H42" s="43">
        <f t="shared" si="29"/>
        <v>-3457</v>
      </c>
      <c r="I42" s="43">
        <f t="shared" si="29"/>
        <v>4187</v>
      </c>
      <c r="J42" s="43">
        <f t="shared" si="29"/>
        <v>10653</v>
      </c>
      <c r="K42" s="43">
        <f t="shared" si="29"/>
        <v>4469</v>
      </c>
      <c r="L42" s="43">
        <f t="shared" si="29"/>
        <v>2681</v>
      </c>
      <c r="M42" s="43">
        <f t="shared" si="29"/>
        <v>1407</v>
      </c>
      <c r="N42" s="43">
        <f t="shared" si="29"/>
        <v>-1</v>
      </c>
    </row>
    <row r="43" spans="1:74" ht="18" customHeight="1" x14ac:dyDescent="0.4">
      <c r="B43" s="79" t="s">
        <v>237</v>
      </c>
      <c r="C43" s="43">
        <f>C39-C27</f>
        <v>-984</v>
      </c>
      <c r="D43" s="43">
        <f t="shared" ref="D43:N43" si="30">D39-D27</f>
        <v>-6406</v>
      </c>
      <c r="E43" s="43">
        <f t="shared" si="30"/>
        <v>-1911</v>
      </c>
      <c r="F43" s="43">
        <f t="shared" si="30"/>
        <v>-4228</v>
      </c>
      <c r="G43" s="43">
        <f t="shared" si="30"/>
        <v>-3836</v>
      </c>
      <c r="H43" s="43">
        <f t="shared" si="30"/>
        <v>-3230</v>
      </c>
      <c r="I43" s="43">
        <f t="shared" si="30"/>
        <v>2710</v>
      </c>
      <c r="J43" s="43">
        <f t="shared" si="30"/>
        <v>8829</v>
      </c>
      <c r="K43" s="43">
        <f t="shared" si="30"/>
        <v>4084</v>
      </c>
      <c r="L43" s="43">
        <f t="shared" si="30"/>
        <v>1706</v>
      </c>
      <c r="M43" s="43">
        <f t="shared" si="30"/>
        <v>1311</v>
      </c>
      <c r="N43" s="43">
        <f t="shared" si="30"/>
        <v>-13</v>
      </c>
    </row>
  </sheetData>
  <mergeCells count="2">
    <mergeCell ref="A2:A18"/>
    <mergeCell ref="A24:A40"/>
  </mergeCells>
  <phoneticPr fontId="3" type="noConversion"/>
  <pageMargins left="0.7" right="0.7" top="0.75" bottom="0.75" header="0.3" footer="0.3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7F23-A3BE-403E-931B-FDB37FE45F68}">
  <dimension ref="A1:U18"/>
  <sheetViews>
    <sheetView workbookViewId="0">
      <selection activeCell="L20" sqref="L20"/>
    </sheetView>
  </sheetViews>
  <sheetFormatPr defaultColWidth="6.296875" defaultRowHeight="18.600000000000001" customHeight="1" x14ac:dyDescent="0.4"/>
  <cols>
    <col min="1" max="1" width="6.296875" style="209"/>
    <col min="2" max="3" width="6.296875" style="29"/>
    <col min="4" max="4" width="6.296875" style="28"/>
    <col min="5" max="5" width="6.296875" style="29"/>
    <col min="6" max="6" width="6.296875" style="28"/>
    <col min="7" max="7" width="6.296875" style="29"/>
    <col min="8" max="8" width="6.296875" style="28"/>
    <col min="9" max="9" width="6.296875" style="29"/>
    <col min="10" max="10" width="6.296875" style="28"/>
    <col min="11" max="11" width="6.296875" style="29"/>
    <col min="12" max="12" width="6.296875" style="28"/>
    <col min="13" max="13" width="6.296875" style="29"/>
    <col min="14" max="14" width="6.296875" style="28"/>
    <col min="15" max="15" width="6.296875" style="29"/>
    <col min="16" max="16" width="6.296875" style="28"/>
    <col min="17" max="17" width="6.296875" style="29"/>
    <col min="18" max="18" width="6.296875" style="28"/>
    <col min="19" max="19" width="1.19921875" style="28" customWidth="1"/>
    <col min="20" max="16384" width="6.296875" style="28"/>
  </cols>
  <sheetData>
    <row r="1" spans="1:21" s="130" customFormat="1" ht="18.600000000000001" customHeight="1" x14ac:dyDescent="0.4">
      <c r="A1" s="300" t="s">
        <v>239</v>
      </c>
      <c r="B1" s="300" t="s">
        <v>240</v>
      </c>
      <c r="C1" s="300"/>
      <c r="D1" s="302"/>
      <c r="E1" s="300"/>
      <c r="F1" s="302"/>
      <c r="G1" s="300"/>
      <c r="H1" s="302"/>
      <c r="I1" s="300"/>
      <c r="J1" s="302"/>
      <c r="K1" s="300"/>
      <c r="L1" s="302"/>
      <c r="M1" s="300"/>
      <c r="N1" s="302"/>
      <c r="O1" s="300"/>
      <c r="P1" s="302"/>
      <c r="Q1" s="300"/>
      <c r="R1" s="302"/>
      <c r="S1"/>
      <c r="T1"/>
      <c r="U1"/>
    </row>
    <row r="2" spans="1:21" s="130" customFormat="1" ht="16.2" customHeight="1" x14ac:dyDescent="0.4">
      <c r="A2" s="300"/>
      <c r="B2" s="302" t="s">
        <v>193</v>
      </c>
      <c r="C2" s="314" t="s">
        <v>194</v>
      </c>
      <c r="D2" s="220" t="s">
        <v>203</v>
      </c>
      <c r="E2" s="311">
        <v>2018.05</v>
      </c>
      <c r="F2" s="220" t="s">
        <v>204</v>
      </c>
      <c r="G2" s="311" t="s">
        <v>196</v>
      </c>
      <c r="H2" s="220" t="s">
        <v>205</v>
      </c>
      <c r="I2" s="311" t="s">
        <v>197</v>
      </c>
      <c r="J2" s="220" t="s">
        <v>206</v>
      </c>
      <c r="K2" s="311" t="s">
        <v>198</v>
      </c>
      <c r="L2" s="220" t="s">
        <v>207</v>
      </c>
      <c r="M2" s="311" t="s">
        <v>200</v>
      </c>
      <c r="N2" s="220" t="s">
        <v>208</v>
      </c>
      <c r="O2" s="311" t="s">
        <v>201</v>
      </c>
      <c r="P2" s="220" t="s">
        <v>209</v>
      </c>
      <c r="Q2" s="311" t="s">
        <v>202</v>
      </c>
      <c r="R2" s="220" t="s">
        <v>210</v>
      </c>
      <c r="S2"/>
      <c r="T2" s="208" t="s">
        <v>211</v>
      </c>
      <c r="U2" s="208" t="s">
        <v>212</v>
      </c>
    </row>
    <row r="3" spans="1:21" s="130" customFormat="1" ht="16.2" customHeight="1" thickBot="1" x14ac:dyDescent="0.45">
      <c r="A3" s="300"/>
      <c r="B3" s="313"/>
      <c r="C3" s="315"/>
      <c r="D3" s="218" t="s">
        <v>238</v>
      </c>
      <c r="E3" s="312"/>
      <c r="F3" s="218" t="s">
        <v>238</v>
      </c>
      <c r="G3" s="312"/>
      <c r="H3" s="218" t="s">
        <v>238</v>
      </c>
      <c r="I3" s="312"/>
      <c r="J3" s="218" t="s">
        <v>238</v>
      </c>
      <c r="K3" s="312"/>
      <c r="L3" s="218" t="s">
        <v>238</v>
      </c>
      <c r="M3" s="312"/>
      <c r="N3" s="218" t="s">
        <v>238</v>
      </c>
      <c r="O3" s="312"/>
      <c r="P3" s="218" t="s">
        <v>238</v>
      </c>
      <c r="Q3" s="312"/>
      <c r="R3" s="218" t="s">
        <v>238</v>
      </c>
      <c r="S3"/>
      <c r="T3" s="217" t="s">
        <v>238</v>
      </c>
      <c r="U3" s="217" t="s">
        <v>238</v>
      </c>
    </row>
    <row r="4" spans="1:21" s="42" customFormat="1" ht="18.600000000000001" customHeight="1" thickTop="1" x14ac:dyDescent="0.35">
      <c r="A4" s="215" t="s">
        <v>213</v>
      </c>
      <c r="B4" s="224">
        <v>15346</v>
      </c>
      <c r="C4" s="224">
        <v>14894</v>
      </c>
      <c r="D4" s="216">
        <f>C4-B4</f>
        <v>-452</v>
      </c>
      <c r="E4" s="224">
        <v>14767</v>
      </c>
      <c r="F4" s="216">
        <f>E4-C4</f>
        <v>-127</v>
      </c>
      <c r="G4" s="224">
        <v>13649</v>
      </c>
      <c r="H4" s="216">
        <f>G4-E4</f>
        <v>-1118</v>
      </c>
      <c r="I4" s="224">
        <v>13356</v>
      </c>
      <c r="J4" s="216">
        <f>I4-G4</f>
        <v>-293</v>
      </c>
      <c r="K4" s="224">
        <v>13320</v>
      </c>
      <c r="L4" s="216">
        <f>K4-I4</f>
        <v>-36</v>
      </c>
      <c r="M4" s="224">
        <v>12912</v>
      </c>
      <c r="N4" s="216">
        <f>M4-K4</f>
        <v>-408</v>
      </c>
      <c r="O4" s="224">
        <v>12394</v>
      </c>
      <c r="P4" s="216">
        <f>O4-M4</f>
        <v>-518</v>
      </c>
      <c r="Q4" s="224">
        <v>11892</v>
      </c>
      <c r="R4" s="216">
        <f>Q4-O4</f>
        <v>-502</v>
      </c>
      <c r="S4"/>
      <c r="T4" s="219">
        <f>Q4-B4</f>
        <v>-3454</v>
      </c>
      <c r="U4" s="219">
        <f>Q4-E4</f>
        <v>-2875</v>
      </c>
    </row>
    <row r="5" spans="1:21" s="42" customFormat="1" ht="18.600000000000001" customHeight="1" x14ac:dyDescent="0.35">
      <c r="A5" s="213" t="s">
        <v>214</v>
      </c>
      <c r="B5" s="225">
        <v>7920</v>
      </c>
      <c r="C5" s="225">
        <v>7945</v>
      </c>
      <c r="D5" s="212">
        <f t="shared" ref="D5:D18" si="0">C5-B5</f>
        <v>25</v>
      </c>
      <c r="E5" s="225">
        <v>7709</v>
      </c>
      <c r="F5" s="212">
        <f t="shared" ref="F5:F18" si="1">E5-C5</f>
        <v>-236</v>
      </c>
      <c r="G5" s="225">
        <v>7444</v>
      </c>
      <c r="H5" s="212">
        <f t="shared" ref="H5:H18" si="2">G5-E5</f>
        <v>-265</v>
      </c>
      <c r="I5" s="225">
        <v>7267</v>
      </c>
      <c r="J5" s="212">
        <f t="shared" ref="J5:J18" si="3">I5-G5</f>
        <v>-177</v>
      </c>
      <c r="K5" s="225">
        <v>7250</v>
      </c>
      <c r="L5" s="212">
        <f t="shared" ref="L5:L18" si="4">K5-I5</f>
        <v>-17</v>
      </c>
      <c r="M5" s="225">
        <v>7062</v>
      </c>
      <c r="N5" s="212">
        <f t="shared" ref="N5:N18" si="5">M5-K5</f>
        <v>-188</v>
      </c>
      <c r="O5" s="225">
        <v>6982</v>
      </c>
      <c r="P5" s="212">
        <f t="shared" ref="P5:P18" si="6">O5-M5</f>
        <v>-80</v>
      </c>
      <c r="Q5" s="225">
        <v>6912</v>
      </c>
      <c r="R5" s="212">
        <f t="shared" ref="R5:R18" si="7">Q5-O5</f>
        <v>-70</v>
      </c>
      <c r="S5"/>
      <c r="T5" s="43">
        <f t="shared" ref="T5:T18" si="8">Q5-B5</f>
        <v>-1008</v>
      </c>
      <c r="U5" s="43">
        <f t="shared" ref="U5:U18" si="9">Q5-E5</f>
        <v>-797</v>
      </c>
    </row>
    <row r="6" spans="1:21" s="42" customFormat="1" ht="18.600000000000001" customHeight="1" x14ac:dyDescent="0.35">
      <c r="A6" s="213" t="s">
        <v>215</v>
      </c>
      <c r="B6" s="225">
        <v>5777</v>
      </c>
      <c r="C6" s="225">
        <v>5755</v>
      </c>
      <c r="D6" s="212">
        <f t="shared" si="0"/>
        <v>-22</v>
      </c>
      <c r="E6" s="225">
        <v>5603</v>
      </c>
      <c r="F6" s="212">
        <f t="shared" si="1"/>
        <v>-152</v>
      </c>
      <c r="G6" s="225">
        <v>5388</v>
      </c>
      <c r="H6" s="212">
        <f t="shared" si="2"/>
        <v>-215</v>
      </c>
      <c r="I6" s="225">
        <v>5275</v>
      </c>
      <c r="J6" s="212">
        <f t="shared" si="3"/>
        <v>-113</v>
      </c>
      <c r="K6" s="225">
        <v>5282</v>
      </c>
      <c r="L6" s="212">
        <f t="shared" si="4"/>
        <v>7</v>
      </c>
      <c r="M6" s="225">
        <v>5117</v>
      </c>
      <c r="N6" s="212">
        <f t="shared" si="5"/>
        <v>-165</v>
      </c>
      <c r="O6" s="225">
        <v>5053</v>
      </c>
      <c r="P6" s="212">
        <f t="shared" si="6"/>
        <v>-64</v>
      </c>
      <c r="Q6" s="225">
        <v>4978</v>
      </c>
      <c r="R6" s="212">
        <f t="shared" si="7"/>
        <v>-75</v>
      </c>
      <c r="S6"/>
      <c r="T6" s="43">
        <f t="shared" si="8"/>
        <v>-799</v>
      </c>
      <c r="U6" s="43">
        <f t="shared" si="9"/>
        <v>-625</v>
      </c>
    </row>
    <row r="7" spans="1:21" s="42" customFormat="1" ht="18.600000000000001" customHeight="1" x14ac:dyDescent="0.35">
      <c r="A7" s="213" t="s">
        <v>216</v>
      </c>
      <c r="B7" s="225">
        <v>3499</v>
      </c>
      <c r="C7" s="225">
        <v>3512</v>
      </c>
      <c r="D7" s="212">
        <f t="shared" si="0"/>
        <v>13</v>
      </c>
      <c r="E7" s="225">
        <v>3486</v>
      </c>
      <c r="F7" s="212">
        <f t="shared" si="1"/>
        <v>-26</v>
      </c>
      <c r="G7" s="225">
        <v>3380</v>
      </c>
      <c r="H7" s="212">
        <f t="shared" si="2"/>
        <v>-106</v>
      </c>
      <c r="I7" s="225">
        <v>3341</v>
      </c>
      <c r="J7" s="212">
        <f t="shared" si="3"/>
        <v>-39</v>
      </c>
      <c r="K7" s="225">
        <v>3339</v>
      </c>
      <c r="L7" s="212">
        <f t="shared" si="4"/>
        <v>-2</v>
      </c>
      <c r="M7" s="225">
        <v>3218</v>
      </c>
      <c r="N7" s="212">
        <f t="shared" si="5"/>
        <v>-121</v>
      </c>
      <c r="O7" s="225">
        <v>3242</v>
      </c>
      <c r="P7" s="212">
        <f t="shared" si="6"/>
        <v>24</v>
      </c>
      <c r="Q7" s="225">
        <v>3189</v>
      </c>
      <c r="R7" s="212">
        <f t="shared" si="7"/>
        <v>-53</v>
      </c>
      <c r="S7"/>
      <c r="T7" s="43">
        <f t="shared" si="8"/>
        <v>-310</v>
      </c>
      <c r="U7" s="43">
        <f t="shared" si="9"/>
        <v>-297</v>
      </c>
    </row>
    <row r="8" spans="1:21" s="42" customFormat="1" ht="18.600000000000001" customHeight="1" x14ac:dyDescent="0.35">
      <c r="A8" s="213" t="s">
        <v>217</v>
      </c>
      <c r="B8" s="225">
        <v>9284</v>
      </c>
      <c r="C8" s="225">
        <v>9168</v>
      </c>
      <c r="D8" s="212">
        <f t="shared" si="0"/>
        <v>-116</v>
      </c>
      <c r="E8" s="225">
        <v>8584</v>
      </c>
      <c r="F8" s="212">
        <f t="shared" si="1"/>
        <v>-584</v>
      </c>
      <c r="G8" s="225">
        <v>8140</v>
      </c>
      <c r="H8" s="212">
        <f t="shared" si="2"/>
        <v>-444</v>
      </c>
      <c r="I8" s="225">
        <v>8202</v>
      </c>
      <c r="J8" s="212">
        <f t="shared" si="3"/>
        <v>62</v>
      </c>
      <c r="K8" s="225">
        <v>8247</v>
      </c>
      <c r="L8" s="212">
        <f t="shared" si="4"/>
        <v>45</v>
      </c>
      <c r="M8" s="225">
        <v>7785</v>
      </c>
      <c r="N8" s="212">
        <f t="shared" si="5"/>
        <v>-462</v>
      </c>
      <c r="O8" s="225">
        <v>7667</v>
      </c>
      <c r="P8" s="212">
        <f t="shared" si="6"/>
        <v>-118</v>
      </c>
      <c r="Q8" s="225">
        <v>7520</v>
      </c>
      <c r="R8" s="212">
        <f t="shared" si="7"/>
        <v>-147</v>
      </c>
      <c r="S8"/>
      <c r="T8" s="43">
        <f t="shared" si="8"/>
        <v>-1764</v>
      </c>
      <c r="U8" s="43">
        <f t="shared" si="9"/>
        <v>-1064</v>
      </c>
    </row>
    <row r="9" spans="1:21" s="42" customFormat="1" ht="18.600000000000001" customHeight="1" x14ac:dyDescent="0.35">
      <c r="A9" s="213" t="s">
        <v>218</v>
      </c>
      <c r="B9" s="225">
        <v>4830</v>
      </c>
      <c r="C9" s="225">
        <v>5428</v>
      </c>
      <c r="D9" s="212">
        <f t="shared" si="0"/>
        <v>598</v>
      </c>
      <c r="E9" s="225">
        <v>8725</v>
      </c>
      <c r="F9" s="212">
        <f t="shared" si="1"/>
        <v>3297</v>
      </c>
      <c r="G9" s="225">
        <v>14162</v>
      </c>
      <c r="H9" s="212">
        <f t="shared" si="2"/>
        <v>5437</v>
      </c>
      <c r="I9" s="225">
        <v>15543</v>
      </c>
      <c r="J9" s="212">
        <f t="shared" si="3"/>
        <v>1381</v>
      </c>
      <c r="K9" s="225">
        <v>15556</v>
      </c>
      <c r="L9" s="212">
        <f t="shared" si="4"/>
        <v>13</v>
      </c>
      <c r="M9" s="225">
        <v>17024</v>
      </c>
      <c r="N9" s="212">
        <f t="shared" si="5"/>
        <v>1468</v>
      </c>
      <c r="O9" s="225">
        <v>16920</v>
      </c>
      <c r="P9" s="212">
        <f t="shared" si="6"/>
        <v>-104</v>
      </c>
      <c r="Q9" s="225">
        <v>16997</v>
      </c>
      <c r="R9" s="212">
        <f t="shared" si="7"/>
        <v>77</v>
      </c>
      <c r="S9"/>
      <c r="T9" s="43">
        <f t="shared" si="8"/>
        <v>12167</v>
      </c>
      <c r="U9" s="43">
        <f t="shared" si="9"/>
        <v>8272</v>
      </c>
    </row>
    <row r="10" spans="1:21" s="42" customFormat="1" ht="18.600000000000001" customHeight="1" x14ac:dyDescent="0.35">
      <c r="A10" s="213" t="s">
        <v>219</v>
      </c>
      <c r="B10" s="225">
        <v>10918</v>
      </c>
      <c r="C10" s="225">
        <v>10737</v>
      </c>
      <c r="D10" s="212">
        <f t="shared" si="0"/>
        <v>-181</v>
      </c>
      <c r="E10" s="225">
        <v>10256</v>
      </c>
      <c r="F10" s="212">
        <f t="shared" si="1"/>
        <v>-481</v>
      </c>
      <c r="G10" s="225">
        <v>9539</v>
      </c>
      <c r="H10" s="212">
        <f t="shared" si="2"/>
        <v>-717</v>
      </c>
      <c r="I10" s="225">
        <v>9266</v>
      </c>
      <c r="J10" s="212">
        <f t="shared" si="3"/>
        <v>-273</v>
      </c>
      <c r="K10" s="225">
        <v>9289</v>
      </c>
      <c r="L10" s="212">
        <f t="shared" si="4"/>
        <v>23</v>
      </c>
      <c r="M10" s="225">
        <v>9063</v>
      </c>
      <c r="N10" s="212">
        <f t="shared" si="5"/>
        <v>-226</v>
      </c>
      <c r="O10" s="225">
        <v>8956</v>
      </c>
      <c r="P10" s="212">
        <f t="shared" si="6"/>
        <v>-107</v>
      </c>
      <c r="Q10" s="225">
        <v>8833</v>
      </c>
      <c r="R10" s="212">
        <f t="shared" si="7"/>
        <v>-123</v>
      </c>
      <c r="S10"/>
      <c r="T10" s="43">
        <f t="shared" si="8"/>
        <v>-2085</v>
      </c>
      <c r="U10" s="43">
        <f t="shared" si="9"/>
        <v>-1423</v>
      </c>
    </row>
    <row r="11" spans="1:21" s="42" customFormat="1" ht="18.600000000000001" customHeight="1" x14ac:dyDescent="0.35">
      <c r="A11" s="213" t="s">
        <v>220</v>
      </c>
      <c r="B11" s="225">
        <v>5746</v>
      </c>
      <c r="C11" s="225">
        <v>5686</v>
      </c>
      <c r="D11" s="212">
        <f t="shared" si="0"/>
        <v>-60</v>
      </c>
      <c r="E11" s="225">
        <v>5467</v>
      </c>
      <c r="F11" s="212">
        <f t="shared" si="1"/>
        <v>-219</v>
      </c>
      <c r="G11" s="225">
        <v>5215</v>
      </c>
      <c r="H11" s="212">
        <f t="shared" si="2"/>
        <v>-252</v>
      </c>
      <c r="I11" s="225">
        <v>4974</v>
      </c>
      <c r="J11" s="212">
        <f t="shared" si="3"/>
        <v>-241</v>
      </c>
      <c r="K11" s="225">
        <v>4968</v>
      </c>
      <c r="L11" s="212">
        <f t="shared" si="4"/>
        <v>-6</v>
      </c>
      <c r="M11" s="225">
        <v>4866</v>
      </c>
      <c r="N11" s="212">
        <f t="shared" si="5"/>
        <v>-102</v>
      </c>
      <c r="O11" s="225">
        <v>4860</v>
      </c>
      <c r="P11" s="212">
        <f t="shared" si="6"/>
        <v>-6</v>
      </c>
      <c r="Q11" s="225">
        <v>4832</v>
      </c>
      <c r="R11" s="212">
        <f t="shared" si="7"/>
        <v>-28</v>
      </c>
      <c r="S11"/>
      <c r="T11" s="43">
        <f t="shared" si="8"/>
        <v>-914</v>
      </c>
      <c r="U11" s="43">
        <f t="shared" si="9"/>
        <v>-635</v>
      </c>
    </row>
    <row r="12" spans="1:21" s="42" customFormat="1" ht="18.600000000000001" customHeight="1" x14ac:dyDescent="0.35">
      <c r="A12" s="213" t="s">
        <v>221</v>
      </c>
      <c r="B12" s="225">
        <v>7996</v>
      </c>
      <c r="C12" s="225">
        <v>8003</v>
      </c>
      <c r="D12" s="212">
        <f t="shared" si="0"/>
        <v>7</v>
      </c>
      <c r="E12" s="225">
        <v>7901</v>
      </c>
      <c r="F12" s="212">
        <f t="shared" si="1"/>
        <v>-102</v>
      </c>
      <c r="G12" s="225">
        <v>7500</v>
      </c>
      <c r="H12" s="212">
        <f t="shared" si="2"/>
        <v>-401</v>
      </c>
      <c r="I12" s="225">
        <v>7250</v>
      </c>
      <c r="J12" s="212">
        <f t="shared" si="3"/>
        <v>-250</v>
      </c>
      <c r="K12" s="225">
        <v>7203</v>
      </c>
      <c r="L12" s="212">
        <f t="shared" si="4"/>
        <v>-47</v>
      </c>
      <c r="M12" s="225">
        <v>7073</v>
      </c>
      <c r="N12" s="212">
        <f t="shared" si="5"/>
        <v>-130</v>
      </c>
      <c r="O12" s="225">
        <v>7020</v>
      </c>
      <c r="P12" s="212">
        <f t="shared" si="6"/>
        <v>-53</v>
      </c>
      <c r="Q12" s="225">
        <v>7041</v>
      </c>
      <c r="R12" s="212">
        <f t="shared" si="7"/>
        <v>21</v>
      </c>
      <c r="S12"/>
      <c r="T12" s="43">
        <f t="shared" si="8"/>
        <v>-955</v>
      </c>
      <c r="U12" s="43">
        <f t="shared" si="9"/>
        <v>-860</v>
      </c>
    </row>
    <row r="13" spans="1:21" s="42" customFormat="1" ht="18.600000000000001" customHeight="1" x14ac:dyDescent="0.35">
      <c r="A13" s="213" t="s">
        <v>222</v>
      </c>
      <c r="B13" s="225">
        <v>7611</v>
      </c>
      <c r="C13" s="225">
        <v>7346</v>
      </c>
      <c r="D13" s="212">
        <f t="shared" si="0"/>
        <v>-265</v>
      </c>
      <c r="E13" s="225">
        <v>6982</v>
      </c>
      <c r="F13" s="212">
        <f t="shared" si="1"/>
        <v>-364</v>
      </c>
      <c r="G13" s="225">
        <v>6420</v>
      </c>
      <c r="H13" s="212">
        <f t="shared" si="2"/>
        <v>-562</v>
      </c>
      <c r="I13" s="225">
        <v>6084</v>
      </c>
      <c r="J13" s="212">
        <f t="shared" si="3"/>
        <v>-336</v>
      </c>
      <c r="K13" s="225">
        <v>6073</v>
      </c>
      <c r="L13" s="212">
        <f t="shared" si="4"/>
        <v>-11</v>
      </c>
      <c r="M13" s="225">
        <v>5834</v>
      </c>
      <c r="N13" s="212">
        <f t="shared" si="5"/>
        <v>-239</v>
      </c>
      <c r="O13" s="225">
        <v>5638</v>
      </c>
      <c r="P13" s="212">
        <f t="shared" si="6"/>
        <v>-196</v>
      </c>
      <c r="Q13" s="225">
        <v>5413</v>
      </c>
      <c r="R13" s="212">
        <f t="shared" si="7"/>
        <v>-225</v>
      </c>
      <c r="S13"/>
      <c r="T13" s="43">
        <f t="shared" si="8"/>
        <v>-2198</v>
      </c>
      <c r="U13" s="43">
        <f t="shared" si="9"/>
        <v>-1569</v>
      </c>
    </row>
    <row r="14" spans="1:21" s="42" customFormat="1" ht="18.600000000000001" customHeight="1" x14ac:dyDescent="0.35">
      <c r="A14" s="213" t="s">
        <v>223</v>
      </c>
      <c r="B14" s="225">
        <v>19844</v>
      </c>
      <c r="C14" s="225">
        <v>19147</v>
      </c>
      <c r="D14" s="212">
        <f t="shared" si="0"/>
        <v>-697</v>
      </c>
      <c r="E14" s="225">
        <v>19289</v>
      </c>
      <c r="F14" s="212">
        <f t="shared" si="1"/>
        <v>142</v>
      </c>
      <c r="G14" s="225">
        <v>19641</v>
      </c>
      <c r="H14" s="212">
        <f t="shared" si="2"/>
        <v>352</v>
      </c>
      <c r="I14" s="225">
        <v>19079</v>
      </c>
      <c r="J14" s="212">
        <f t="shared" si="3"/>
        <v>-562</v>
      </c>
      <c r="K14" s="225">
        <v>19097</v>
      </c>
      <c r="L14" s="212">
        <f t="shared" si="4"/>
        <v>18</v>
      </c>
      <c r="M14" s="225">
        <v>17876</v>
      </c>
      <c r="N14" s="212">
        <f t="shared" si="5"/>
        <v>-1221</v>
      </c>
      <c r="O14" s="225">
        <v>17585</v>
      </c>
      <c r="P14" s="212">
        <f t="shared" si="6"/>
        <v>-291</v>
      </c>
      <c r="Q14" s="225">
        <v>17353</v>
      </c>
      <c r="R14" s="212">
        <f t="shared" si="7"/>
        <v>-232</v>
      </c>
      <c r="S14"/>
      <c r="T14" s="43">
        <f t="shared" si="8"/>
        <v>-2491</v>
      </c>
      <c r="U14" s="43">
        <f t="shared" si="9"/>
        <v>-1936</v>
      </c>
    </row>
    <row r="15" spans="1:21" s="42" customFormat="1" ht="18.600000000000001" customHeight="1" x14ac:dyDescent="0.35">
      <c r="A15" s="213" t="s">
        <v>224</v>
      </c>
      <c r="B15" s="225">
        <v>17776</v>
      </c>
      <c r="C15" s="225">
        <v>17459</v>
      </c>
      <c r="D15" s="212">
        <f t="shared" si="0"/>
        <v>-317</v>
      </c>
      <c r="E15" s="225">
        <v>17588</v>
      </c>
      <c r="F15" s="212">
        <f t="shared" si="1"/>
        <v>129</v>
      </c>
      <c r="G15" s="225">
        <v>19246</v>
      </c>
      <c r="H15" s="212">
        <f t="shared" si="2"/>
        <v>1658</v>
      </c>
      <c r="I15" s="225">
        <v>18502</v>
      </c>
      <c r="J15" s="212">
        <f t="shared" si="3"/>
        <v>-744</v>
      </c>
      <c r="K15" s="225">
        <v>18497</v>
      </c>
      <c r="L15" s="212">
        <f t="shared" si="4"/>
        <v>-5</v>
      </c>
      <c r="M15" s="225">
        <v>17466</v>
      </c>
      <c r="N15" s="212">
        <f t="shared" si="5"/>
        <v>-1031</v>
      </c>
      <c r="O15" s="225">
        <v>17225</v>
      </c>
      <c r="P15" s="212">
        <f t="shared" si="6"/>
        <v>-241</v>
      </c>
      <c r="Q15" s="225">
        <v>16794</v>
      </c>
      <c r="R15" s="212">
        <f t="shared" si="7"/>
        <v>-431</v>
      </c>
      <c r="S15"/>
      <c r="T15" s="43">
        <f t="shared" si="8"/>
        <v>-982</v>
      </c>
      <c r="U15" s="43">
        <f t="shared" si="9"/>
        <v>-794</v>
      </c>
    </row>
    <row r="16" spans="1:21" s="42" customFormat="1" ht="18.600000000000001" customHeight="1" x14ac:dyDescent="0.35">
      <c r="A16" s="213" t="s">
        <v>225</v>
      </c>
      <c r="B16" s="225">
        <v>10285</v>
      </c>
      <c r="C16" s="225">
        <v>10068</v>
      </c>
      <c r="D16" s="212">
        <f t="shared" si="0"/>
        <v>-217</v>
      </c>
      <c r="E16" s="225">
        <v>9760</v>
      </c>
      <c r="F16" s="212">
        <f t="shared" si="1"/>
        <v>-308</v>
      </c>
      <c r="G16" s="225">
        <v>9084</v>
      </c>
      <c r="H16" s="212">
        <f t="shared" si="2"/>
        <v>-676</v>
      </c>
      <c r="I16" s="225">
        <v>8718</v>
      </c>
      <c r="J16" s="212">
        <f t="shared" si="3"/>
        <v>-366</v>
      </c>
      <c r="K16" s="225">
        <v>8676</v>
      </c>
      <c r="L16" s="212">
        <f t="shared" si="4"/>
        <v>-42</v>
      </c>
      <c r="M16" s="225">
        <v>8172</v>
      </c>
      <c r="N16" s="212">
        <f t="shared" si="5"/>
        <v>-504</v>
      </c>
      <c r="O16" s="225">
        <v>8160</v>
      </c>
      <c r="P16" s="212">
        <f t="shared" si="6"/>
        <v>-12</v>
      </c>
      <c r="Q16" s="225">
        <v>8035</v>
      </c>
      <c r="R16" s="212">
        <f t="shared" si="7"/>
        <v>-125</v>
      </c>
      <c r="S16"/>
      <c r="T16" s="43">
        <f t="shared" si="8"/>
        <v>-2250</v>
      </c>
      <c r="U16" s="43">
        <f t="shared" si="9"/>
        <v>-1725</v>
      </c>
    </row>
    <row r="17" spans="1:21" s="42" customFormat="1" ht="18.600000000000001" customHeight="1" x14ac:dyDescent="0.35">
      <c r="A17" s="213" t="s">
        <v>226</v>
      </c>
      <c r="B17" s="225">
        <v>15637</v>
      </c>
      <c r="C17" s="225">
        <v>15332</v>
      </c>
      <c r="D17" s="212">
        <f t="shared" si="0"/>
        <v>-305</v>
      </c>
      <c r="E17" s="225">
        <v>14939</v>
      </c>
      <c r="F17" s="212">
        <f t="shared" si="1"/>
        <v>-393</v>
      </c>
      <c r="G17" s="225">
        <v>16239</v>
      </c>
      <c r="H17" s="212">
        <f t="shared" si="2"/>
        <v>1300</v>
      </c>
      <c r="I17" s="225">
        <v>15844</v>
      </c>
      <c r="J17" s="212">
        <f t="shared" si="3"/>
        <v>-395</v>
      </c>
      <c r="K17" s="225">
        <v>15755</v>
      </c>
      <c r="L17" s="212">
        <f t="shared" si="4"/>
        <v>-89</v>
      </c>
      <c r="M17" s="225">
        <v>17406</v>
      </c>
      <c r="N17" s="212">
        <f t="shared" si="5"/>
        <v>1651</v>
      </c>
      <c r="O17" s="225">
        <v>17416</v>
      </c>
      <c r="P17" s="212">
        <f t="shared" si="6"/>
        <v>10</v>
      </c>
      <c r="Q17" s="225">
        <v>17240</v>
      </c>
      <c r="R17" s="212">
        <f t="shared" si="7"/>
        <v>-176</v>
      </c>
      <c r="S17"/>
      <c r="T17" s="43">
        <f t="shared" si="8"/>
        <v>1603</v>
      </c>
      <c r="U17" s="43">
        <f t="shared" si="9"/>
        <v>2301</v>
      </c>
    </row>
    <row r="18" spans="1:21" s="42" customFormat="1" ht="18.600000000000001" customHeight="1" x14ac:dyDescent="0.35">
      <c r="A18" s="214" t="s">
        <v>227</v>
      </c>
      <c r="B18" s="225">
        <v>27554</v>
      </c>
      <c r="C18" s="225">
        <v>30532</v>
      </c>
      <c r="D18" s="212">
        <f t="shared" si="0"/>
        <v>2978</v>
      </c>
      <c r="E18" s="225">
        <v>31234</v>
      </c>
      <c r="F18" s="212">
        <f t="shared" si="1"/>
        <v>702</v>
      </c>
      <c r="G18" s="225">
        <v>29582</v>
      </c>
      <c r="H18" s="212">
        <f t="shared" si="2"/>
        <v>-1652</v>
      </c>
      <c r="I18" s="225">
        <v>33751</v>
      </c>
      <c r="J18" s="212">
        <f t="shared" si="3"/>
        <v>4169</v>
      </c>
      <c r="K18" s="225">
        <v>33855</v>
      </c>
      <c r="L18" s="212">
        <f t="shared" si="4"/>
        <v>104</v>
      </c>
      <c r="M18" s="225">
        <v>34786</v>
      </c>
      <c r="N18" s="212">
        <f t="shared" si="5"/>
        <v>931</v>
      </c>
      <c r="O18" s="225">
        <v>34404</v>
      </c>
      <c r="P18" s="212">
        <f t="shared" si="6"/>
        <v>-382</v>
      </c>
      <c r="Q18" s="225">
        <v>34277</v>
      </c>
      <c r="R18" s="212">
        <f t="shared" si="7"/>
        <v>-127</v>
      </c>
      <c r="S18"/>
      <c r="T18" s="43">
        <f t="shared" si="8"/>
        <v>6723</v>
      </c>
      <c r="U18" s="43">
        <f t="shared" si="9"/>
        <v>3043</v>
      </c>
    </row>
  </sheetData>
  <mergeCells count="11">
    <mergeCell ref="M2:M3"/>
    <mergeCell ref="O2:O3"/>
    <mergeCell ref="Q2:Q3"/>
    <mergeCell ref="A1:A3"/>
    <mergeCell ref="B2:B3"/>
    <mergeCell ref="C2:C3"/>
    <mergeCell ref="E2:E3"/>
    <mergeCell ref="G2:G3"/>
    <mergeCell ref="I2:I3"/>
    <mergeCell ref="K2:K3"/>
    <mergeCell ref="B1:R1"/>
  </mergeCells>
  <phoneticPr fontId="3" type="noConversion"/>
  <pageMargins left="0.25" right="0.25" top="0.75" bottom="0.75" header="0.3" footer="0.3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DB74-EAF4-4DE0-82B0-206B3EAC8D46}">
  <dimension ref="A1:P187"/>
  <sheetViews>
    <sheetView topLeftCell="A34" zoomScaleNormal="100" workbookViewId="0">
      <selection activeCell="F58" sqref="F58"/>
    </sheetView>
  </sheetViews>
  <sheetFormatPr defaultRowHeight="18.600000000000001" customHeight="1" x14ac:dyDescent="0.4"/>
  <cols>
    <col min="1" max="1" width="8.796875" style="42"/>
    <col min="2" max="2" width="5.5" style="42" customWidth="1"/>
    <col min="3" max="3" width="8" style="42" customWidth="1"/>
    <col min="4" max="6" width="8.796875" style="42"/>
    <col min="7" max="7" width="8.796875" style="131"/>
    <col min="8" max="8" width="9.296875" style="45" bestFit="1" customWidth="1"/>
    <col min="9" max="9" width="9.296875" style="42" bestFit="1" customWidth="1"/>
    <col min="10" max="11" width="8.796875" style="42"/>
    <col min="12" max="15" width="8.796875" style="42" customWidth="1"/>
    <col min="16" max="16384" width="8.796875" style="42"/>
  </cols>
  <sheetData>
    <row r="1" spans="1:16" ht="18.600000000000001" customHeight="1" x14ac:dyDescent="0.4">
      <c r="A1" s="280" t="s">
        <v>133</v>
      </c>
      <c r="B1" s="284"/>
      <c r="C1" s="265" t="s">
        <v>89</v>
      </c>
      <c r="D1" s="266"/>
      <c r="E1" s="266"/>
      <c r="F1" s="266"/>
      <c r="G1" s="285"/>
      <c r="H1" s="265" t="s">
        <v>92</v>
      </c>
      <c r="I1" s="266"/>
      <c r="J1" s="266"/>
      <c r="K1" s="266"/>
      <c r="L1" s="266"/>
      <c r="M1" s="266"/>
      <c r="N1" s="266"/>
      <c r="O1" s="206"/>
    </row>
    <row r="2" spans="1:16" ht="18.600000000000001" customHeight="1" x14ac:dyDescent="0.4">
      <c r="A2" s="287" t="s">
        <v>0</v>
      </c>
      <c r="B2" s="289" t="s">
        <v>1</v>
      </c>
      <c r="C2" s="270" t="s">
        <v>11</v>
      </c>
      <c r="D2" s="3" t="s">
        <v>18</v>
      </c>
      <c r="E2" s="3" t="s">
        <v>20</v>
      </c>
      <c r="F2" s="286" t="s">
        <v>150</v>
      </c>
      <c r="G2" s="291" t="s">
        <v>151</v>
      </c>
      <c r="H2" s="270" t="s">
        <v>11</v>
      </c>
      <c r="I2" s="3" t="s">
        <v>18</v>
      </c>
      <c r="J2" s="3" t="s">
        <v>20</v>
      </c>
      <c r="K2" s="3" t="s">
        <v>39</v>
      </c>
      <c r="L2" s="286" t="s">
        <v>96</v>
      </c>
      <c r="M2" s="272" t="s">
        <v>105</v>
      </c>
      <c r="N2" s="283" t="s">
        <v>103</v>
      </c>
      <c r="O2" s="262" t="s">
        <v>104</v>
      </c>
    </row>
    <row r="3" spans="1:16" ht="18.600000000000001" customHeight="1" x14ac:dyDescent="0.4">
      <c r="A3" s="288"/>
      <c r="B3" s="290"/>
      <c r="C3" s="270"/>
      <c r="D3" s="3" t="s">
        <v>19</v>
      </c>
      <c r="E3" s="3" t="s">
        <v>21</v>
      </c>
      <c r="F3" s="286"/>
      <c r="G3" s="291"/>
      <c r="H3" s="270"/>
      <c r="I3" s="3" t="s">
        <v>37</v>
      </c>
      <c r="J3" s="3" t="s">
        <v>38</v>
      </c>
      <c r="K3" s="3" t="s">
        <v>40</v>
      </c>
      <c r="L3" s="286"/>
      <c r="M3" s="272"/>
      <c r="N3" s="283"/>
      <c r="O3" s="262"/>
    </row>
    <row r="4" spans="1:16" ht="18.600000000000001" customHeight="1" x14ac:dyDescent="0.4">
      <c r="A4" s="7" t="s">
        <v>12</v>
      </c>
      <c r="B4" s="103"/>
      <c r="C4" s="104">
        <v>87089</v>
      </c>
      <c r="D4" s="9">
        <v>45692</v>
      </c>
      <c r="E4" s="15">
        <v>41397</v>
      </c>
      <c r="F4" s="179">
        <f t="shared" ref="F4:F21" si="0">D4-E4</f>
        <v>4295</v>
      </c>
      <c r="G4" s="180">
        <f t="shared" ref="G4:G21" si="1">(D4/C4)-(E4/C4)</f>
        <v>4.9317364994430957E-2</v>
      </c>
      <c r="H4" s="104">
        <v>87578</v>
      </c>
      <c r="I4" s="8">
        <v>41108</v>
      </c>
      <c r="J4" s="12">
        <v>43949</v>
      </c>
      <c r="K4" s="8">
        <v>2521</v>
      </c>
      <c r="L4" s="181">
        <f>I4-J4</f>
        <v>-2841</v>
      </c>
      <c r="M4" s="74">
        <f>I4-(J4+K4)</f>
        <v>-5362</v>
      </c>
      <c r="N4" s="190">
        <f t="shared" ref="N4:N21" si="2">(I4/H4)-(J4/H4)</f>
        <v>-3.2439653794331891E-2</v>
      </c>
      <c r="O4" s="204">
        <f>(I4/H4)-((J4/H4)+(K4/H4))</f>
        <v>-6.1225421909611999E-2</v>
      </c>
    </row>
    <row r="5" spans="1:16" ht="18.600000000000001" customHeight="1" x14ac:dyDescent="0.4">
      <c r="A5" s="7" t="s">
        <v>13</v>
      </c>
      <c r="B5" s="103"/>
      <c r="C5" s="105">
        <v>266</v>
      </c>
      <c r="D5" s="16">
        <v>118</v>
      </c>
      <c r="E5" s="11">
        <v>148</v>
      </c>
      <c r="F5" s="181">
        <f t="shared" si="0"/>
        <v>-30</v>
      </c>
      <c r="G5" s="182">
        <f t="shared" si="1"/>
        <v>-0.11278195488721804</v>
      </c>
      <c r="H5" s="105">
        <v>261</v>
      </c>
      <c r="I5" s="10">
        <v>105</v>
      </c>
      <c r="J5" s="11">
        <v>140</v>
      </c>
      <c r="K5" s="10">
        <v>16</v>
      </c>
      <c r="L5" s="181">
        <f t="shared" ref="L5:L21" si="3">I5-J5</f>
        <v>-35</v>
      </c>
      <c r="M5" s="74">
        <f t="shared" ref="M5:M21" si="4">I5-(J5+K5)</f>
        <v>-51</v>
      </c>
      <c r="N5" s="190">
        <f t="shared" si="2"/>
        <v>-0.13409961685823751</v>
      </c>
      <c r="O5" s="204">
        <f t="shared" ref="O5:O21" si="5">(I5/H5)-((J5/H5)+(K5/H5))</f>
        <v>-0.19540229885057464</v>
      </c>
      <c r="P5" s="128"/>
    </row>
    <row r="6" spans="1:16" ht="18.600000000000001" customHeight="1" x14ac:dyDescent="0.4">
      <c r="A6" s="7" t="s">
        <v>14</v>
      </c>
      <c r="B6" s="103"/>
      <c r="C6" s="104">
        <v>9816</v>
      </c>
      <c r="D6" s="9">
        <v>6211</v>
      </c>
      <c r="E6" s="15">
        <v>3605</v>
      </c>
      <c r="F6" s="179">
        <f t="shared" si="0"/>
        <v>2606</v>
      </c>
      <c r="G6" s="180">
        <f t="shared" si="1"/>
        <v>0.26548492257538708</v>
      </c>
      <c r="H6" s="104">
        <v>9890</v>
      </c>
      <c r="I6" s="9">
        <v>5616</v>
      </c>
      <c r="J6" s="8">
        <v>3989</v>
      </c>
      <c r="K6" s="10">
        <v>285</v>
      </c>
      <c r="L6" s="179">
        <f t="shared" si="3"/>
        <v>1627</v>
      </c>
      <c r="M6" s="75">
        <f t="shared" si="4"/>
        <v>1342</v>
      </c>
      <c r="N6" s="189">
        <f t="shared" si="2"/>
        <v>0.16450960566228517</v>
      </c>
      <c r="O6" s="205">
        <f t="shared" si="5"/>
        <v>0.13569261880687566</v>
      </c>
    </row>
    <row r="7" spans="1:16" ht="18.600000000000001" customHeight="1" x14ac:dyDescent="0.4">
      <c r="A7" s="7" t="s">
        <v>22</v>
      </c>
      <c r="B7" s="103" t="s">
        <v>11</v>
      </c>
      <c r="C7" s="104">
        <v>5611</v>
      </c>
      <c r="D7" s="9">
        <v>2943</v>
      </c>
      <c r="E7" s="15">
        <v>2668</v>
      </c>
      <c r="F7" s="179">
        <f t="shared" si="0"/>
        <v>275</v>
      </c>
      <c r="G7" s="180">
        <f t="shared" si="1"/>
        <v>4.9010871502406017E-2</v>
      </c>
      <c r="H7" s="104">
        <v>5618</v>
      </c>
      <c r="I7" s="9">
        <v>2878</v>
      </c>
      <c r="J7" s="8">
        <v>2614</v>
      </c>
      <c r="K7" s="10">
        <v>126</v>
      </c>
      <c r="L7" s="179">
        <f t="shared" si="3"/>
        <v>264</v>
      </c>
      <c r="M7" s="75">
        <f t="shared" si="4"/>
        <v>138</v>
      </c>
      <c r="N7" s="189">
        <f t="shared" si="2"/>
        <v>4.6991812032751878E-2</v>
      </c>
      <c r="O7" s="205">
        <f t="shared" si="5"/>
        <v>2.4563901744393046E-2</v>
      </c>
    </row>
    <row r="8" spans="1:16" ht="18.600000000000001" customHeight="1" x14ac:dyDescent="0.4">
      <c r="A8" s="7" t="s">
        <v>23</v>
      </c>
      <c r="B8" s="103" t="s">
        <v>11</v>
      </c>
      <c r="C8" s="104">
        <v>3591</v>
      </c>
      <c r="D8" s="9">
        <v>1829</v>
      </c>
      <c r="E8" s="15">
        <v>1762</v>
      </c>
      <c r="F8" s="179">
        <f t="shared" si="0"/>
        <v>67</v>
      </c>
      <c r="G8" s="180">
        <f t="shared" si="1"/>
        <v>1.8657755499860817E-2</v>
      </c>
      <c r="H8" s="104">
        <v>3630</v>
      </c>
      <c r="I8" s="9">
        <v>1723</v>
      </c>
      <c r="J8" s="8">
        <v>1664</v>
      </c>
      <c r="K8" s="10">
        <v>243</v>
      </c>
      <c r="L8" s="179">
        <f t="shared" si="3"/>
        <v>59</v>
      </c>
      <c r="M8" s="74">
        <f t="shared" si="4"/>
        <v>-184</v>
      </c>
      <c r="N8" s="189">
        <f t="shared" si="2"/>
        <v>1.6253443526170808E-2</v>
      </c>
      <c r="O8" s="204">
        <f t="shared" si="5"/>
        <v>-5.0688705234159803E-2</v>
      </c>
    </row>
    <row r="9" spans="1:16" ht="18.600000000000001" customHeight="1" x14ac:dyDescent="0.4">
      <c r="A9" s="7" t="s">
        <v>24</v>
      </c>
      <c r="B9" s="103" t="s">
        <v>11</v>
      </c>
      <c r="C9" s="104">
        <v>2589</v>
      </c>
      <c r="D9" s="15">
        <v>1072</v>
      </c>
      <c r="E9" s="12">
        <v>1517</v>
      </c>
      <c r="F9" s="181">
        <f t="shared" si="0"/>
        <v>-445</v>
      </c>
      <c r="G9" s="182">
        <f t="shared" si="1"/>
        <v>-0.17188103514870612</v>
      </c>
      <c r="H9" s="104">
        <v>2620</v>
      </c>
      <c r="I9" s="10">
        <v>994</v>
      </c>
      <c r="J9" s="12">
        <v>1540</v>
      </c>
      <c r="K9" s="10">
        <v>86</v>
      </c>
      <c r="L9" s="181">
        <f t="shared" si="3"/>
        <v>-546</v>
      </c>
      <c r="M9" s="74">
        <f t="shared" si="4"/>
        <v>-632</v>
      </c>
      <c r="N9" s="190">
        <f t="shared" si="2"/>
        <v>-0.2083969465648855</v>
      </c>
      <c r="O9" s="204">
        <f t="shared" si="5"/>
        <v>-0.24122137404580157</v>
      </c>
    </row>
    <row r="10" spans="1:16" ht="18.600000000000001" customHeight="1" x14ac:dyDescent="0.4">
      <c r="A10" s="7" t="s">
        <v>25</v>
      </c>
      <c r="B10" s="103" t="s">
        <v>11</v>
      </c>
      <c r="C10" s="104">
        <v>1780</v>
      </c>
      <c r="D10" s="16">
        <v>734</v>
      </c>
      <c r="E10" s="12">
        <v>1046</v>
      </c>
      <c r="F10" s="181">
        <f t="shared" si="0"/>
        <v>-312</v>
      </c>
      <c r="G10" s="182">
        <f t="shared" si="1"/>
        <v>-0.17528089887640452</v>
      </c>
      <c r="H10" s="104">
        <v>1799</v>
      </c>
      <c r="I10" s="10">
        <v>646</v>
      </c>
      <c r="J10" s="12">
        <v>1099</v>
      </c>
      <c r="K10" s="10">
        <v>54</v>
      </c>
      <c r="L10" s="181">
        <f t="shared" si="3"/>
        <v>-453</v>
      </c>
      <c r="M10" s="74">
        <f t="shared" si="4"/>
        <v>-507</v>
      </c>
      <c r="N10" s="190">
        <f t="shared" si="2"/>
        <v>-0.25180655919955536</v>
      </c>
      <c r="O10" s="204">
        <f t="shared" si="5"/>
        <v>-0.28182323513062818</v>
      </c>
    </row>
    <row r="11" spans="1:16" ht="18.600000000000001" customHeight="1" x14ac:dyDescent="0.4">
      <c r="A11" s="7" t="s">
        <v>26</v>
      </c>
      <c r="B11" s="103" t="s">
        <v>11</v>
      </c>
      <c r="C11" s="104">
        <v>3462</v>
      </c>
      <c r="D11" s="15">
        <v>1730</v>
      </c>
      <c r="E11" s="12">
        <v>1732</v>
      </c>
      <c r="F11" s="181">
        <f t="shared" si="0"/>
        <v>-2</v>
      </c>
      <c r="G11" s="182">
        <f t="shared" si="1"/>
        <v>-5.7770075101098994E-4</v>
      </c>
      <c r="H11" s="104">
        <v>3493</v>
      </c>
      <c r="I11" s="8">
        <v>1687</v>
      </c>
      <c r="J11" s="12">
        <v>1708</v>
      </c>
      <c r="K11" s="10">
        <v>98</v>
      </c>
      <c r="L11" s="181">
        <f t="shared" si="3"/>
        <v>-21</v>
      </c>
      <c r="M11" s="74">
        <f t="shared" si="4"/>
        <v>-119</v>
      </c>
      <c r="N11" s="190">
        <f t="shared" si="2"/>
        <v>-6.0120240480961984E-3</v>
      </c>
      <c r="O11" s="204">
        <f t="shared" si="5"/>
        <v>-3.4068136272545069E-2</v>
      </c>
    </row>
    <row r="12" spans="1:16" ht="18.600000000000001" customHeight="1" x14ac:dyDescent="0.4">
      <c r="A12" s="7" t="s">
        <v>27</v>
      </c>
      <c r="B12" s="103" t="s">
        <v>11</v>
      </c>
      <c r="C12" s="104">
        <v>6459</v>
      </c>
      <c r="D12" s="9">
        <v>4091</v>
      </c>
      <c r="E12" s="15">
        <v>2368</v>
      </c>
      <c r="F12" s="179">
        <f t="shared" si="0"/>
        <v>1723</v>
      </c>
      <c r="G12" s="180">
        <f t="shared" si="1"/>
        <v>0.26675956030345249</v>
      </c>
      <c r="H12" s="104">
        <v>6506</v>
      </c>
      <c r="I12" s="9">
        <v>3658</v>
      </c>
      <c r="J12" s="8">
        <v>2672</v>
      </c>
      <c r="K12" s="10">
        <v>176</v>
      </c>
      <c r="L12" s="179">
        <f t="shared" si="3"/>
        <v>986</v>
      </c>
      <c r="M12" s="75">
        <f t="shared" si="4"/>
        <v>810</v>
      </c>
      <c r="N12" s="189">
        <f t="shared" si="2"/>
        <v>0.15155241315708573</v>
      </c>
      <c r="O12" s="205">
        <f t="shared" si="5"/>
        <v>0.12450046111281887</v>
      </c>
    </row>
    <row r="13" spans="1:16" ht="18.600000000000001" customHeight="1" x14ac:dyDescent="0.4">
      <c r="A13" s="7" t="s">
        <v>28</v>
      </c>
      <c r="B13" s="103" t="s">
        <v>11</v>
      </c>
      <c r="C13" s="104">
        <v>4177</v>
      </c>
      <c r="D13" s="15">
        <v>1936</v>
      </c>
      <c r="E13" s="12">
        <v>2241</v>
      </c>
      <c r="F13" s="181">
        <f t="shared" si="0"/>
        <v>-305</v>
      </c>
      <c r="G13" s="182">
        <f t="shared" si="1"/>
        <v>-7.3018913095523053E-2</v>
      </c>
      <c r="H13" s="104">
        <v>4196</v>
      </c>
      <c r="I13" s="8">
        <v>1760</v>
      </c>
      <c r="J13" s="12">
        <v>2361</v>
      </c>
      <c r="K13" s="10">
        <v>75</v>
      </c>
      <c r="L13" s="181">
        <f t="shared" si="3"/>
        <v>-601</v>
      </c>
      <c r="M13" s="74">
        <f t="shared" si="4"/>
        <v>-676</v>
      </c>
      <c r="N13" s="190">
        <f t="shared" si="2"/>
        <v>-0.14323164918970444</v>
      </c>
      <c r="O13" s="204">
        <f t="shared" si="5"/>
        <v>-0.16110581506196375</v>
      </c>
    </row>
    <row r="14" spans="1:16" ht="18.600000000000001" customHeight="1" x14ac:dyDescent="0.4">
      <c r="A14" s="7" t="s">
        <v>29</v>
      </c>
      <c r="B14" s="103" t="s">
        <v>11</v>
      </c>
      <c r="C14" s="104">
        <v>2675</v>
      </c>
      <c r="D14" s="15">
        <v>1061</v>
      </c>
      <c r="E14" s="12">
        <v>1614</v>
      </c>
      <c r="F14" s="181">
        <f t="shared" si="0"/>
        <v>-553</v>
      </c>
      <c r="G14" s="182">
        <f t="shared" si="1"/>
        <v>-0.20672897196261686</v>
      </c>
      <c r="H14" s="104">
        <v>2696</v>
      </c>
      <c r="I14" s="8">
        <v>1045</v>
      </c>
      <c r="J14" s="12">
        <v>1589</v>
      </c>
      <c r="K14" s="10">
        <v>62</v>
      </c>
      <c r="L14" s="181">
        <f t="shared" si="3"/>
        <v>-544</v>
      </c>
      <c r="M14" s="74">
        <f t="shared" si="4"/>
        <v>-606</v>
      </c>
      <c r="N14" s="190">
        <f t="shared" si="2"/>
        <v>-0.20178041543026703</v>
      </c>
      <c r="O14" s="204">
        <f t="shared" si="5"/>
        <v>-0.22477744807121658</v>
      </c>
    </row>
    <row r="15" spans="1:16" ht="18.600000000000001" customHeight="1" x14ac:dyDescent="0.4">
      <c r="A15" s="7" t="s">
        <v>30</v>
      </c>
      <c r="B15" s="103" t="s">
        <v>11</v>
      </c>
      <c r="C15" s="104">
        <v>3728</v>
      </c>
      <c r="D15" s="15">
        <v>1483</v>
      </c>
      <c r="E15" s="12">
        <v>2245</v>
      </c>
      <c r="F15" s="181">
        <f t="shared" si="0"/>
        <v>-762</v>
      </c>
      <c r="G15" s="182">
        <f t="shared" si="1"/>
        <v>-0.20439914163090128</v>
      </c>
      <c r="H15" s="104">
        <v>3735</v>
      </c>
      <c r="I15" s="8">
        <v>1213</v>
      </c>
      <c r="J15" s="12">
        <v>2450</v>
      </c>
      <c r="K15" s="10">
        <v>72</v>
      </c>
      <c r="L15" s="181">
        <f t="shared" si="3"/>
        <v>-1237</v>
      </c>
      <c r="M15" s="74">
        <f t="shared" si="4"/>
        <v>-1309</v>
      </c>
      <c r="N15" s="190">
        <f t="shared" si="2"/>
        <v>-0.33119143239625171</v>
      </c>
      <c r="O15" s="204">
        <f t="shared" si="5"/>
        <v>-0.35046854082998669</v>
      </c>
    </row>
    <row r="16" spans="1:16" ht="18.600000000000001" customHeight="1" x14ac:dyDescent="0.4">
      <c r="A16" s="7" t="s">
        <v>31</v>
      </c>
      <c r="B16" s="103" t="s">
        <v>11</v>
      </c>
      <c r="C16" s="104">
        <v>2338</v>
      </c>
      <c r="D16" s="15">
        <v>1046</v>
      </c>
      <c r="E16" s="12">
        <v>1292</v>
      </c>
      <c r="F16" s="181">
        <f t="shared" si="0"/>
        <v>-246</v>
      </c>
      <c r="G16" s="182">
        <f t="shared" si="1"/>
        <v>-0.1052181351582549</v>
      </c>
      <c r="H16" s="104">
        <v>2340</v>
      </c>
      <c r="I16" s="10">
        <v>900</v>
      </c>
      <c r="J16" s="12">
        <v>1368</v>
      </c>
      <c r="K16" s="10">
        <v>72</v>
      </c>
      <c r="L16" s="181">
        <f t="shared" si="3"/>
        <v>-468</v>
      </c>
      <c r="M16" s="74">
        <f t="shared" si="4"/>
        <v>-540</v>
      </c>
      <c r="N16" s="190">
        <f t="shared" si="2"/>
        <v>-0.2</v>
      </c>
      <c r="O16" s="204">
        <f t="shared" si="5"/>
        <v>-0.23076923076923078</v>
      </c>
    </row>
    <row r="17" spans="1:15" ht="18.600000000000001" customHeight="1" x14ac:dyDescent="0.4">
      <c r="A17" s="7" t="s">
        <v>32</v>
      </c>
      <c r="B17" s="103" t="s">
        <v>11</v>
      </c>
      <c r="C17" s="104">
        <v>7790</v>
      </c>
      <c r="D17" s="9">
        <v>4011</v>
      </c>
      <c r="E17" s="15">
        <v>3779</v>
      </c>
      <c r="F17" s="179">
        <f t="shared" si="0"/>
        <v>232</v>
      </c>
      <c r="G17" s="180">
        <f t="shared" si="1"/>
        <v>2.9781771501925514E-2</v>
      </c>
      <c r="H17" s="104">
        <v>7833</v>
      </c>
      <c r="I17" s="8">
        <v>3601</v>
      </c>
      <c r="J17" s="12">
        <v>4005</v>
      </c>
      <c r="K17" s="10">
        <v>227</v>
      </c>
      <c r="L17" s="181">
        <f t="shared" si="3"/>
        <v>-404</v>
      </c>
      <c r="M17" s="74">
        <f t="shared" si="4"/>
        <v>-631</v>
      </c>
      <c r="N17" s="190">
        <f t="shared" si="2"/>
        <v>-5.1576662836716525E-2</v>
      </c>
      <c r="O17" s="204">
        <f t="shared" si="5"/>
        <v>-8.0556619430614151E-2</v>
      </c>
    </row>
    <row r="18" spans="1:15" ht="18.600000000000001" customHeight="1" x14ac:dyDescent="0.4">
      <c r="A18" s="7" t="s">
        <v>33</v>
      </c>
      <c r="B18" s="103" t="s">
        <v>11</v>
      </c>
      <c r="C18" s="104">
        <v>7541</v>
      </c>
      <c r="D18" s="9">
        <v>3806</v>
      </c>
      <c r="E18" s="15">
        <v>3735</v>
      </c>
      <c r="F18" s="179">
        <f t="shared" si="0"/>
        <v>71</v>
      </c>
      <c r="G18" s="180">
        <f t="shared" si="1"/>
        <v>9.4151969234849697E-3</v>
      </c>
      <c r="H18" s="104">
        <v>7560</v>
      </c>
      <c r="I18" s="8">
        <v>3499</v>
      </c>
      <c r="J18" s="12">
        <v>3865</v>
      </c>
      <c r="K18" s="10">
        <v>196</v>
      </c>
      <c r="L18" s="181">
        <f t="shared" si="3"/>
        <v>-366</v>
      </c>
      <c r="M18" s="74">
        <f t="shared" si="4"/>
        <v>-562</v>
      </c>
      <c r="N18" s="190">
        <f t="shared" si="2"/>
        <v>-4.8412698412698463E-2</v>
      </c>
      <c r="O18" s="204">
        <f t="shared" si="5"/>
        <v>-7.4338624338624371E-2</v>
      </c>
    </row>
    <row r="19" spans="1:15" ht="18.600000000000001" customHeight="1" x14ac:dyDescent="0.4">
      <c r="A19" s="7" t="s">
        <v>34</v>
      </c>
      <c r="B19" s="103" t="s">
        <v>11</v>
      </c>
      <c r="C19" s="104">
        <v>3642</v>
      </c>
      <c r="D19" s="15">
        <v>1675</v>
      </c>
      <c r="E19" s="12">
        <v>1967</v>
      </c>
      <c r="F19" s="181">
        <f t="shared" si="0"/>
        <v>-292</v>
      </c>
      <c r="G19" s="182">
        <f t="shared" si="1"/>
        <v>-8.0175727622185666E-2</v>
      </c>
      <c r="H19" s="104">
        <v>3667</v>
      </c>
      <c r="I19" s="8">
        <v>1534</v>
      </c>
      <c r="J19" s="12">
        <v>2020</v>
      </c>
      <c r="K19" s="10">
        <v>113</v>
      </c>
      <c r="L19" s="181">
        <f t="shared" si="3"/>
        <v>-486</v>
      </c>
      <c r="M19" s="74">
        <f t="shared" si="4"/>
        <v>-599</v>
      </c>
      <c r="N19" s="190">
        <f t="shared" si="2"/>
        <v>-0.13253340605399511</v>
      </c>
      <c r="O19" s="204">
        <f t="shared" si="5"/>
        <v>-0.1633487864739569</v>
      </c>
    </row>
    <row r="20" spans="1:15" ht="18.600000000000001" customHeight="1" x14ac:dyDescent="0.4">
      <c r="A20" s="7" t="s">
        <v>35</v>
      </c>
      <c r="B20" s="103" t="s">
        <v>11</v>
      </c>
      <c r="C20" s="104">
        <v>7428</v>
      </c>
      <c r="D20" s="9">
        <v>3899</v>
      </c>
      <c r="E20" s="15">
        <v>3529</v>
      </c>
      <c r="F20" s="179">
        <f t="shared" si="0"/>
        <v>370</v>
      </c>
      <c r="G20" s="180">
        <f t="shared" si="1"/>
        <v>4.9811523963381843E-2</v>
      </c>
      <c r="H20" s="104">
        <v>7467</v>
      </c>
      <c r="I20" s="8">
        <v>3287</v>
      </c>
      <c r="J20" s="12">
        <v>3976</v>
      </c>
      <c r="K20" s="10">
        <v>204</v>
      </c>
      <c r="L20" s="181">
        <f t="shared" si="3"/>
        <v>-689</v>
      </c>
      <c r="M20" s="74">
        <f t="shared" si="4"/>
        <v>-893</v>
      </c>
      <c r="N20" s="190">
        <f t="shared" si="2"/>
        <v>-9.2272666398821479E-2</v>
      </c>
      <c r="O20" s="204">
        <f t="shared" si="5"/>
        <v>-0.11959287531806617</v>
      </c>
    </row>
    <row r="21" spans="1:15" ht="18.600000000000001" customHeight="1" thickBot="1" x14ac:dyDescent="0.45">
      <c r="A21" s="7" t="s">
        <v>36</v>
      </c>
      <c r="B21" s="103" t="s">
        <v>11</v>
      </c>
      <c r="C21" s="106">
        <v>14137</v>
      </c>
      <c r="D21" s="107">
        <v>8017</v>
      </c>
      <c r="E21" s="108">
        <v>6120</v>
      </c>
      <c r="F21" s="183">
        <f t="shared" si="0"/>
        <v>1897</v>
      </c>
      <c r="G21" s="184">
        <f t="shared" si="1"/>
        <v>0.13418688547782415</v>
      </c>
      <c r="H21" s="106">
        <v>14225</v>
      </c>
      <c r="I21" s="107">
        <v>6936</v>
      </c>
      <c r="J21" s="108">
        <v>6874</v>
      </c>
      <c r="K21" s="109">
        <v>415</v>
      </c>
      <c r="L21" s="183">
        <f t="shared" si="3"/>
        <v>62</v>
      </c>
      <c r="M21" s="111">
        <f t="shared" si="4"/>
        <v>-353</v>
      </c>
      <c r="N21" s="200">
        <f t="shared" si="2"/>
        <v>4.3585237258347842E-3</v>
      </c>
      <c r="O21" s="207">
        <f t="shared" si="5"/>
        <v>-2.4815465729349784E-2</v>
      </c>
    </row>
    <row r="22" spans="1:15" ht="112.8" customHeight="1" thickBot="1" x14ac:dyDescent="0.45">
      <c r="G22" s="42"/>
      <c r="H22" s="42"/>
    </row>
    <row r="23" spans="1:15" ht="18.600000000000001" customHeight="1" x14ac:dyDescent="0.4">
      <c r="A23" s="293" t="s">
        <v>139</v>
      </c>
      <c r="B23" s="294"/>
      <c r="C23" s="294"/>
      <c r="D23" s="294"/>
      <c r="E23" s="294"/>
      <c r="F23" s="294"/>
      <c r="G23" s="294"/>
      <c r="H23" s="294"/>
      <c r="I23" s="294"/>
      <c r="J23" s="295"/>
    </row>
    <row r="24" spans="1:15" ht="18.600000000000001" customHeight="1" x14ac:dyDescent="0.4">
      <c r="A24" s="270" t="s">
        <v>0</v>
      </c>
      <c r="B24" s="271" t="s">
        <v>1</v>
      </c>
      <c r="C24" s="272" t="s">
        <v>130</v>
      </c>
      <c r="D24" s="3" t="s">
        <v>18</v>
      </c>
      <c r="E24" s="3" t="s">
        <v>20</v>
      </c>
      <c r="F24" s="3" t="s">
        <v>43</v>
      </c>
      <c r="G24" s="268" t="s">
        <v>107</v>
      </c>
      <c r="H24" s="272" t="s">
        <v>110</v>
      </c>
      <c r="I24" s="283" t="s">
        <v>128</v>
      </c>
      <c r="J24" s="292" t="s">
        <v>129</v>
      </c>
    </row>
    <row r="25" spans="1:15" ht="18.600000000000001" customHeight="1" x14ac:dyDescent="0.4">
      <c r="A25" s="270"/>
      <c r="B25" s="271"/>
      <c r="C25" s="272"/>
      <c r="D25" s="3" t="s">
        <v>41</v>
      </c>
      <c r="E25" s="3" t="s">
        <v>42</v>
      </c>
      <c r="F25" s="3" t="s">
        <v>44</v>
      </c>
      <c r="G25" s="268"/>
      <c r="H25" s="272"/>
      <c r="I25" s="283"/>
      <c r="J25" s="292"/>
    </row>
    <row r="26" spans="1:15" ht="18.600000000000001" customHeight="1" x14ac:dyDescent="0.4">
      <c r="A26" s="67" t="s">
        <v>12</v>
      </c>
      <c r="B26" s="7"/>
      <c r="C26" s="5">
        <v>18897</v>
      </c>
      <c r="D26" s="9">
        <v>8969</v>
      </c>
      <c r="E26" s="8">
        <v>8530</v>
      </c>
      <c r="F26" s="8">
        <v>1398</v>
      </c>
      <c r="G26" s="179">
        <f>D26-E26</f>
        <v>439</v>
      </c>
      <c r="H26" s="74">
        <f t="shared" ref="H26:H33" si="6">D26-(E26+F26)</f>
        <v>-959</v>
      </c>
      <c r="I26" s="189">
        <f>(D26/C26)-(E26/C26)</f>
        <v>2.3231200719690981E-2</v>
      </c>
      <c r="J26" s="115">
        <f>(D26/C26)-((E26/C26)+(F26/C26))</f>
        <v>-5.0748796105201832E-2</v>
      </c>
    </row>
    <row r="27" spans="1:15" ht="18.600000000000001" customHeight="1" x14ac:dyDescent="0.4">
      <c r="A27" s="67" t="s">
        <v>13</v>
      </c>
      <c r="B27" s="7"/>
      <c r="C27" s="6">
        <v>70</v>
      </c>
      <c r="D27" s="59">
        <v>31</v>
      </c>
      <c r="E27" s="10">
        <v>27</v>
      </c>
      <c r="F27" s="10">
        <v>12</v>
      </c>
      <c r="G27" s="179">
        <f t="shared" ref="G27:G33" si="7">D27-E27</f>
        <v>4</v>
      </c>
      <c r="H27" s="74">
        <f t="shared" si="6"/>
        <v>-8</v>
      </c>
      <c r="I27" s="189">
        <f t="shared" ref="I27:I33" si="8">(D27/C27)-(E27/C27)</f>
        <v>5.7142857142857106E-2</v>
      </c>
      <c r="J27" s="115">
        <f t="shared" ref="J27:J33" si="9">(D27/C27)-((E27/C27)+(F27/C27))</f>
        <v>-0.11428571428571432</v>
      </c>
    </row>
    <row r="28" spans="1:15" ht="18.600000000000001" customHeight="1" x14ac:dyDescent="0.4">
      <c r="A28" s="67" t="s">
        <v>14</v>
      </c>
      <c r="B28" s="7"/>
      <c r="C28" s="5">
        <v>1822</v>
      </c>
      <c r="D28" s="9">
        <v>1077</v>
      </c>
      <c r="E28" s="10">
        <v>660</v>
      </c>
      <c r="F28" s="10">
        <v>85</v>
      </c>
      <c r="G28" s="179">
        <f t="shared" si="7"/>
        <v>417</v>
      </c>
      <c r="H28" s="75">
        <f t="shared" si="6"/>
        <v>332</v>
      </c>
      <c r="I28" s="189">
        <f t="shared" si="8"/>
        <v>0.22886937431394078</v>
      </c>
      <c r="J28" s="117">
        <f t="shared" si="9"/>
        <v>0.18221734357848524</v>
      </c>
      <c r="L28" s="129"/>
    </row>
    <row r="29" spans="1:15" ht="18.600000000000001" customHeight="1" x14ac:dyDescent="0.4">
      <c r="A29" s="67" t="s">
        <v>22</v>
      </c>
      <c r="B29" s="7" t="s">
        <v>11</v>
      </c>
      <c r="C29" s="5">
        <v>5592</v>
      </c>
      <c r="D29" s="9">
        <v>2703</v>
      </c>
      <c r="E29" s="8">
        <v>2421</v>
      </c>
      <c r="F29" s="10">
        <v>468</v>
      </c>
      <c r="G29" s="179">
        <f t="shared" si="7"/>
        <v>282</v>
      </c>
      <c r="H29" s="74">
        <f t="shared" si="6"/>
        <v>-186</v>
      </c>
      <c r="I29" s="189">
        <f t="shared" si="8"/>
        <v>5.0429184549356243E-2</v>
      </c>
      <c r="J29" s="115">
        <f t="shared" si="9"/>
        <v>-3.3261802575107247E-2</v>
      </c>
      <c r="K29" s="62"/>
    </row>
    <row r="30" spans="1:15" ht="18.600000000000001" customHeight="1" x14ac:dyDescent="0.4">
      <c r="A30" s="67" t="s">
        <v>26</v>
      </c>
      <c r="B30" s="7" t="s">
        <v>11</v>
      </c>
      <c r="C30" s="5">
        <v>3463</v>
      </c>
      <c r="D30" s="9">
        <v>1531</v>
      </c>
      <c r="E30" s="8">
        <v>1464</v>
      </c>
      <c r="F30" s="10">
        <v>468</v>
      </c>
      <c r="G30" s="179">
        <f>D30-E30</f>
        <v>67</v>
      </c>
      <c r="H30" s="74">
        <f t="shared" si="6"/>
        <v>-401</v>
      </c>
      <c r="I30" s="189">
        <f>(D30/C30)-(E30/C30)</f>
        <v>1.9347386658966181E-2</v>
      </c>
      <c r="J30" s="115">
        <f>(D30/C30)-((E30/C30)+(F30/C30))</f>
        <v>-0.11579555298873817</v>
      </c>
    </row>
    <row r="31" spans="1:15" ht="18.600000000000001" customHeight="1" x14ac:dyDescent="0.4">
      <c r="A31" s="67" t="s">
        <v>23</v>
      </c>
      <c r="B31" s="7" t="s">
        <v>11</v>
      </c>
      <c r="C31" s="5">
        <v>3594</v>
      </c>
      <c r="D31" s="9">
        <v>1875</v>
      </c>
      <c r="E31" s="8">
        <v>1552</v>
      </c>
      <c r="F31" s="10">
        <v>167</v>
      </c>
      <c r="G31" s="179">
        <f t="shared" si="7"/>
        <v>323</v>
      </c>
      <c r="H31" s="75">
        <f t="shared" si="6"/>
        <v>156</v>
      </c>
      <c r="I31" s="189">
        <f t="shared" si="8"/>
        <v>8.9872008903728484E-2</v>
      </c>
      <c r="J31" s="117">
        <f t="shared" si="9"/>
        <v>4.3405676126878179E-2</v>
      </c>
      <c r="M31" s="130"/>
    </row>
    <row r="32" spans="1:15" ht="18.600000000000001" customHeight="1" x14ac:dyDescent="0.4">
      <c r="A32" s="67" t="s">
        <v>24</v>
      </c>
      <c r="B32" s="7" t="s">
        <v>11</v>
      </c>
      <c r="C32" s="5">
        <v>2558</v>
      </c>
      <c r="D32" s="8">
        <v>1046</v>
      </c>
      <c r="E32" s="12">
        <v>1391</v>
      </c>
      <c r="F32" s="10">
        <v>121</v>
      </c>
      <c r="G32" s="181">
        <f t="shared" si="7"/>
        <v>-345</v>
      </c>
      <c r="H32" s="74">
        <f t="shared" si="6"/>
        <v>-466</v>
      </c>
      <c r="I32" s="190">
        <f t="shared" si="8"/>
        <v>-0.13487099296325256</v>
      </c>
      <c r="J32" s="115">
        <f t="shared" si="9"/>
        <v>-0.18217357310398752</v>
      </c>
    </row>
    <row r="33" spans="1:14" ht="18.600000000000001" customHeight="1" thickBot="1" x14ac:dyDescent="0.45">
      <c r="A33" s="177" t="s">
        <v>25</v>
      </c>
      <c r="B33" s="102" t="s">
        <v>11</v>
      </c>
      <c r="C33" s="178">
        <v>1782</v>
      </c>
      <c r="D33" s="118">
        <v>699</v>
      </c>
      <c r="E33" s="119">
        <v>1007</v>
      </c>
      <c r="F33" s="118">
        <v>76</v>
      </c>
      <c r="G33" s="188">
        <f t="shared" si="7"/>
        <v>-308</v>
      </c>
      <c r="H33" s="120">
        <f t="shared" si="6"/>
        <v>-384</v>
      </c>
      <c r="I33" s="191">
        <f t="shared" si="8"/>
        <v>-0.17283950617283955</v>
      </c>
      <c r="J33" s="121">
        <f t="shared" si="9"/>
        <v>-0.21548821548821556</v>
      </c>
    </row>
    <row r="34" spans="1:14" ht="18.600000000000001" customHeight="1" x14ac:dyDescent="0.4">
      <c r="A34" s="293" t="s">
        <v>138</v>
      </c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5"/>
    </row>
    <row r="35" spans="1:14" ht="18.600000000000001" customHeight="1" x14ac:dyDescent="0.4">
      <c r="A35" s="270" t="s">
        <v>0</v>
      </c>
      <c r="B35" s="271" t="s">
        <v>1</v>
      </c>
      <c r="C35" s="272" t="s">
        <v>130</v>
      </c>
      <c r="D35" s="3" t="s">
        <v>18</v>
      </c>
      <c r="E35" s="3" t="s">
        <v>18</v>
      </c>
      <c r="F35" s="3" t="s">
        <v>20</v>
      </c>
      <c r="G35" s="3" t="s">
        <v>20</v>
      </c>
      <c r="H35" s="3" t="s">
        <v>43</v>
      </c>
      <c r="I35" s="268" t="s">
        <v>111</v>
      </c>
      <c r="J35" s="272" t="s">
        <v>112</v>
      </c>
      <c r="K35" s="283" t="s">
        <v>135</v>
      </c>
      <c r="L35" s="292" t="s">
        <v>134</v>
      </c>
    </row>
    <row r="36" spans="1:14" ht="18.600000000000001" customHeight="1" x14ac:dyDescent="0.4">
      <c r="A36" s="270"/>
      <c r="B36" s="271"/>
      <c r="C36" s="272"/>
      <c r="D36" s="3" t="s">
        <v>49</v>
      </c>
      <c r="E36" s="3" t="s">
        <v>50</v>
      </c>
      <c r="F36" s="3" t="s">
        <v>51</v>
      </c>
      <c r="G36" s="3" t="s">
        <v>52</v>
      </c>
      <c r="H36" s="3" t="s">
        <v>53</v>
      </c>
      <c r="I36" s="268"/>
      <c r="J36" s="272"/>
      <c r="K36" s="283"/>
      <c r="L36" s="292"/>
    </row>
    <row r="37" spans="1:14" ht="18.600000000000001" customHeight="1" x14ac:dyDescent="0.4">
      <c r="A37" s="67" t="s">
        <v>12</v>
      </c>
      <c r="B37" s="7"/>
      <c r="C37" s="5">
        <v>9938</v>
      </c>
      <c r="D37" s="8">
        <v>2487</v>
      </c>
      <c r="E37" s="8">
        <v>2457</v>
      </c>
      <c r="F37" s="12">
        <v>2757</v>
      </c>
      <c r="G37" s="8">
        <v>1251</v>
      </c>
      <c r="H37" s="10">
        <v>986</v>
      </c>
      <c r="I37" s="192">
        <f>(D37+E37)-(F37+G37)</f>
        <v>936</v>
      </c>
      <c r="J37" s="74">
        <f>(D37+E37)-(F37+G37+H37)</f>
        <v>-50</v>
      </c>
      <c r="K37" s="189">
        <f>((D37+E37)/C37)-((F37+G37)/C37)</f>
        <v>9.4183940430670188E-2</v>
      </c>
      <c r="L37" s="115">
        <f>((D37+E37)/C37)-((F37+G37+H37)/C37)</f>
        <v>-5.031193399074263E-3</v>
      </c>
    </row>
    <row r="38" spans="1:14" ht="18.600000000000001" customHeight="1" x14ac:dyDescent="0.4">
      <c r="A38" s="67" t="s">
        <v>13</v>
      </c>
      <c r="B38" s="7"/>
      <c r="C38" s="6">
        <v>38</v>
      </c>
      <c r="D38" s="10">
        <v>8</v>
      </c>
      <c r="E38" s="10">
        <v>6</v>
      </c>
      <c r="F38" s="10">
        <v>9</v>
      </c>
      <c r="G38" s="10">
        <v>2</v>
      </c>
      <c r="H38" s="11">
        <v>13</v>
      </c>
      <c r="I38" s="192">
        <f t="shared" ref="I38:I41" si="10">(D38+E38)-(F38+G38)</f>
        <v>3</v>
      </c>
      <c r="J38" s="74">
        <f>(D38+E38)-(F38+G38+H38)</f>
        <v>-10</v>
      </c>
      <c r="K38" s="189">
        <f t="shared" ref="K38:K41" si="11">((D38+E38)/C38)-((F38+G38)/C38)</f>
        <v>7.8947368421052599E-2</v>
      </c>
      <c r="L38" s="115">
        <f t="shared" ref="L38:L41" si="12">((D38+E38)/C38)-((F38+G38+H38)/C38)</f>
        <v>-0.26315789473684209</v>
      </c>
    </row>
    <row r="39" spans="1:14" ht="18.600000000000001" customHeight="1" x14ac:dyDescent="0.4">
      <c r="A39" s="67" t="s">
        <v>14</v>
      </c>
      <c r="B39" s="7"/>
      <c r="C39" s="5">
        <v>1001</v>
      </c>
      <c r="D39" s="59">
        <v>368</v>
      </c>
      <c r="E39" s="10">
        <v>254</v>
      </c>
      <c r="F39" s="10">
        <v>233</v>
      </c>
      <c r="G39" s="10">
        <v>86</v>
      </c>
      <c r="H39" s="10">
        <v>60</v>
      </c>
      <c r="I39" s="192">
        <f t="shared" si="10"/>
        <v>303</v>
      </c>
      <c r="J39" s="75">
        <f>(D39+E39)-(F39+G39+H39)</f>
        <v>243</v>
      </c>
      <c r="K39" s="189">
        <f t="shared" si="11"/>
        <v>0.30269730269730277</v>
      </c>
      <c r="L39" s="117">
        <f t="shared" si="12"/>
        <v>0.24275724275724281</v>
      </c>
    </row>
    <row r="40" spans="1:14" ht="18.600000000000001" customHeight="1" x14ac:dyDescent="0.4">
      <c r="A40" s="67" t="s">
        <v>22</v>
      </c>
      <c r="B40" s="7" t="s">
        <v>11</v>
      </c>
      <c r="C40" s="5">
        <v>5481</v>
      </c>
      <c r="D40" s="8">
        <v>1359</v>
      </c>
      <c r="E40" s="8">
        <v>1610</v>
      </c>
      <c r="F40" s="12">
        <v>1960</v>
      </c>
      <c r="G40" s="10">
        <v>317</v>
      </c>
      <c r="H40" s="10">
        <v>235</v>
      </c>
      <c r="I40" s="192">
        <f t="shared" si="10"/>
        <v>692</v>
      </c>
      <c r="J40" s="75">
        <f>(D40+E40)-(F40+G40+H40)</f>
        <v>457</v>
      </c>
      <c r="K40" s="189">
        <f t="shared" si="11"/>
        <v>0.12625433315088491</v>
      </c>
      <c r="L40" s="117">
        <f t="shared" si="12"/>
        <v>8.3378945447910968E-2</v>
      </c>
    </row>
    <row r="41" spans="1:14" ht="18.600000000000001" customHeight="1" thickBot="1" x14ac:dyDescent="0.45">
      <c r="A41" s="175" t="s">
        <v>26</v>
      </c>
      <c r="B41" s="176" t="s">
        <v>11</v>
      </c>
      <c r="C41" s="149">
        <v>3413</v>
      </c>
      <c r="D41" s="109">
        <v>749</v>
      </c>
      <c r="E41" s="109">
        <v>586</v>
      </c>
      <c r="F41" s="109">
        <v>555</v>
      </c>
      <c r="G41" s="123">
        <v>846</v>
      </c>
      <c r="H41" s="109">
        <v>677</v>
      </c>
      <c r="I41" s="193">
        <f t="shared" si="10"/>
        <v>-66</v>
      </c>
      <c r="J41" s="111">
        <f>(D41+E41)-(F41+G41+H41)</f>
        <v>-743</v>
      </c>
      <c r="K41" s="194">
        <f t="shared" si="11"/>
        <v>-1.9337825959566346E-2</v>
      </c>
      <c r="L41" s="116">
        <f t="shared" si="12"/>
        <v>-0.21769704072663343</v>
      </c>
      <c r="N41" s="129"/>
    </row>
    <row r="42" spans="1:14" ht="18.600000000000001" customHeight="1" x14ac:dyDescent="0.4">
      <c r="A42" s="273" t="s">
        <v>0</v>
      </c>
      <c r="B42" s="274" t="s">
        <v>1</v>
      </c>
      <c r="C42" s="275" t="s">
        <v>130</v>
      </c>
      <c r="D42" s="66" t="s">
        <v>137</v>
      </c>
      <c r="E42" s="66" t="s">
        <v>18</v>
      </c>
      <c r="F42" s="66" t="s">
        <v>20</v>
      </c>
      <c r="G42" s="66" t="s">
        <v>20</v>
      </c>
      <c r="H42" s="277" t="s">
        <v>111</v>
      </c>
      <c r="I42" s="296" t="s">
        <v>135</v>
      </c>
    </row>
    <row r="43" spans="1:14" ht="18.600000000000001" customHeight="1" x14ac:dyDescent="0.4">
      <c r="A43" s="270"/>
      <c r="B43" s="271"/>
      <c r="C43" s="272"/>
      <c r="D43" s="3" t="s">
        <v>54</v>
      </c>
      <c r="E43" s="3" t="s">
        <v>55</v>
      </c>
      <c r="F43" s="3" t="s">
        <v>56</v>
      </c>
      <c r="G43" s="3" t="s">
        <v>57</v>
      </c>
      <c r="H43" s="268"/>
      <c r="I43" s="297"/>
    </row>
    <row r="44" spans="1:14" ht="18.600000000000001" customHeight="1" x14ac:dyDescent="0.4">
      <c r="A44" s="67" t="s">
        <v>12</v>
      </c>
      <c r="B44" s="7"/>
      <c r="C44" s="5">
        <v>8293</v>
      </c>
      <c r="D44" s="8">
        <v>2001</v>
      </c>
      <c r="E44" s="8">
        <v>1954</v>
      </c>
      <c r="F44" s="12">
        <v>2929</v>
      </c>
      <c r="G44" s="8">
        <v>1409</v>
      </c>
      <c r="H44" s="195">
        <f t="shared" ref="H44:H49" si="13">(D44+E44)-(F44+G44)</f>
        <v>-383</v>
      </c>
      <c r="I44" s="185">
        <f>((D44+E44)/C44)-((F44+G44)/C44)</f>
        <v>-4.6183528276859953E-2</v>
      </c>
    </row>
    <row r="45" spans="1:14" ht="18.600000000000001" customHeight="1" x14ac:dyDescent="0.4">
      <c r="A45" s="67" t="s">
        <v>13</v>
      </c>
      <c r="B45" s="7"/>
      <c r="C45" s="6">
        <v>32</v>
      </c>
      <c r="D45" s="59">
        <v>10</v>
      </c>
      <c r="E45" s="10">
        <v>5</v>
      </c>
      <c r="F45" s="10">
        <v>9</v>
      </c>
      <c r="G45" s="10">
        <v>8</v>
      </c>
      <c r="H45" s="195">
        <f t="shared" si="13"/>
        <v>-2</v>
      </c>
      <c r="I45" s="185">
        <f t="shared" ref="I45:I49" si="14">((D45+E45)/C45)-((F45+G45)/C45)</f>
        <v>-6.25E-2</v>
      </c>
      <c r="L45" s="62"/>
    </row>
    <row r="46" spans="1:14" ht="18.600000000000001" customHeight="1" x14ac:dyDescent="0.4">
      <c r="A46" s="67" t="s">
        <v>14</v>
      </c>
      <c r="B46" s="7"/>
      <c r="C46" s="6">
        <v>773</v>
      </c>
      <c r="D46" s="59">
        <v>235</v>
      </c>
      <c r="E46" s="10">
        <v>191</v>
      </c>
      <c r="F46" s="10">
        <v>232</v>
      </c>
      <c r="G46" s="10">
        <v>115</v>
      </c>
      <c r="H46" s="192">
        <f t="shared" si="13"/>
        <v>79</v>
      </c>
      <c r="I46" s="186">
        <f>((D46+E46)/C46)-((F46+G46)/C46)</f>
        <v>0.10219922380336355</v>
      </c>
    </row>
    <row r="47" spans="1:14" ht="18.600000000000001" customHeight="1" x14ac:dyDescent="0.4">
      <c r="A47" s="67" t="s">
        <v>23</v>
      </c>
      <c r="B47" s="7" t="s">
        <v>11</v>
      </c>
      <c r="C47" s="5">
        <v>3348</v>
      </c>
      <c r="D47" s="10">
        <v>812</v>
      </c>
      <c r="E47" s="9">
        <v>1197</v>
      </c>
      <c r="F47" s="10">
        <v>933</v>
      </c>
      <c r="G47" s="10">
        <v>406</v>
      </c>
      <c r="H47" s="192">
        <f t="shared" si="13"/>
        <v>670</v>
      </c>
      <c r="I47" s="186">
        <f t="shared" si="14"/>
        <v>0.20011947431302274</v>
      </c>
      <c r="K47" s="62"/>
    </row>
    <row r="48" spans="1:14" ht="18.600000000000001" customHeight="1" x14ac:dyDescent="0.4">
      <c r="A48" s="67" t="s">
        <v>24</v>
      </c>
      <c r="B48" s="7" t="s">
        <v>11</v>
      </c>
      <c r="C48" s="5">
        <v>2450</v>
      </c>
      <c r="D48" s="10">
        <v>530</v>
      </c>
      <c r="E48" s="10">
        <v>357</v>
      </c>
      <c r="F48" s="12">
        <v>1407</v>
      </c>
      <c r="G48" s="10">
        <v>156</v>
      </c>
      <c r="H48" s="195">
        <f t="shared" si="13"/>
        <v>-676</v>
      </c>
      <c r="I48" s="185">
        <f t="shared" si="14"/>
        <v>-0.27591836734693875</v>
      </c>
    </row>
    <row r="49" spans="1:9" ht="18.600000000000001" customHeight="1" thickBot="1" x14ac:dyDescent="0.45">
      <c r="A49" s="175" t="s">
        <v>25</v>
      </c>
      <c r="B49" s="176" t="s">
        <v>11</v>
      </c>
      <c r="C49" s="149">
        <v>1675</v>
      </c>
      <c r="D49" s="109">
        <v>410</v>
      </c>
      <c r="E49" s="109">
        <v>198</v>
      </c>
      <c r="F49" s="109">
        <v>343</v>
      </c>
      <c r="G49" s="123">
        <v>724</v>
      </c>
      <c r="H49" s="193">
        <f t="shared" si="13"/>
        <v>-459</v>
      </c>
      <c r="I49" s="196">
        <f t="shared" si="14"/>
        <v>-0.27402985074626862</v>
      </c>
    </row>
    <row r="50" spans="1:9" ht="18.600000000000001" customHeight="1" thickBot="1" x14ac:dyDescent="0.45"/>
    <row r="51" spans="1:9" ht="18.600000000000001" customHeight="1" x14ac:dyDescent="0.4">
      <c r="A51" s="265" t="s">
        <v>142</v>
      </c>
      <c r="B51" s="266"/>
      <c r="C51" s="266"/>
      <c r="D51" s="266"/>
      <c r="E51" s="266"/>
      <c r="F51" s="266"/>
      <c r="G51" s="267"/>
    </row>
    <row r="52" spans="1:9" ht="18.600000000000001" customHeight="1" x14ac:dyDescent="0.4">
      <c r="A52" s="270" t="s">
        <v>0</v>
      </c>
      <c r="B52" s="271" t="s">
        <v>1</v>
      </c>
      <c r="C52" s="272" t="s">
        <v>130</v>
      </c>
      <c r="D52" s="3" t="s">
        <v>18</v>
      </c>
      <c r="E52" s="3" t="s">
        <v>20</v>
      </c>
      <c r="F52" s="268" t="s">
        <v>107</v>
      </c>
      <c r="G52" s="297" t="s">
        <v>128</v>
      </c>
    </row>
    <row r="53" spans="1:9" ht="18.600000000000001" customHeight="1" x14ac:dyDescent="0.4">
      <c r="A53" s="270"/>
      <c r="B53" s="271"/>
      <c r="C53" s="272"/>
      <c r="D53" s="3" t="s">
        <v>45</v>
      </c>
      <c r="E53" s="3" t="s">
        <v>46</v>
      </c>
      <c r="F53" s="268"/>
      <c r="G53" s="297"/>
    </row>
    <row r="54" spans="1:9" ht="18.600000000000001" customHeight="1" x14ac:dyDescent="0.4">
      <c r="A54" s="67" t="s">
        <v>12</v>
      </c>
      <c r="B54" s="7"/>
      <c r="C54" s="5">
        <v>32287</v>
      </c>
      <c r="D54" s="9">
        <v>18048</v>
      </c>
      <c r="E54" s="8">
        <v>14239</v>
      </c>
      <c r="F54" s="192">
        <f t="shared" ref="F54:F59" si="15">D54-E54</f>
        <v>3809</v>
      </c>
      <c r="G54" s="186">
        <f>(D54/C54)-(E54/C54)</f>
        <v>0.11797317805928081</v>
      </c>
      <c r="H54" s="42"/>
    </row>
    <row r="55" spans="1:9" ht="18.600000000000001" customHeight="1" x14ac:dyDescent="0.4">
      <c r="A55" s="67" t="s">
        <v>13</v>
      </c>
      <c r="B55" s="7"/>
      <c r="C55" s="6">
        <v>102</v>
      </c>
      <c r="D55" s="59">
        <v>52</v>
      </c>
      <c r="E55" s="10">
        <v>50</v>
      </c>
      <c r="F55" s="192">
        <f t="shared" si="15"/>
        <v>2</v>
      </c>
      <c r="G55" s="186">
        <f t="shared" ref="G55:G59" si="16">(D55/C55)-(E55/C55)</f>
        <v>1.9607843137254888E-2</v>
      </c>
      <c r="H55" s="42"/>
    </row>
    <row r="56" spans="1:9" ht="18.600000000000001" customHeight="1" x14ac:dyDescent="0.4">
      <c r="A56" s="67" t="s">
        <v>14</v>
      </c>
      <c r="B56" s="7"/>
      <c r="C56" s="5">
        <v>3955</v>
      </c>
      <c r="D56" s="9">
        <v>2551</v>
      </c>
      <c r="E56" s="8">
        <v>1404</v>
      </c>
      <c r="F56" s="192">
        <f t="shared" si="15"/>
        <v>1147</v>
      </c>
      <c r="G56" s="186">
        <f t="shared" si="16"/>
        <v>0.29001264222503159</v>
      </c>
      <c r="H56" s="42"/>
    </row>
    <row r="57" spans="1:9" ht="18.600000000000001" customHeight="1" x14ac:dyDescent="0.4">
      <c r="A57" s="67" t="s">
        <v>27</v>
      </c>
      <c r="B57" s="7" t="s">
        <v>11</v>
      </c>
      <c r="C57" s="5">
        <v>6450</v>
      </c>
      <c r="D57" s="9">
        <v>3854</v>
      </c>
      <c r="E57" s="8">
        <v>2596</v>
      </c>
      <c r="F57" s="192">
        <f t="shared" si="15"/>
        <v>1258</v>
      </c>
      <c r="G57" s="186">
        <f t="shared" si="16"/>
        <v>0.19503875968992251</v>
      </c>
      <c r="H57" s="42"/>
    </row>
    <row r="58" spans="1:9" ht="18.600000000000001" customHeight="1" x14ac:dyDescent="0.4">
      <c r="A58" s="67" t="s">
        <v>32</v>
      </c>
      <c r="B58" s="7" t="s">
        <v>11</v>
      </c>
      <c r="C58" s="5">
        <v>7726</v>
      </c>
      <c r="D58" s="9">
        <v>3977</v>
      </c>
      <c r="E58" s="8">
        <v>3749</v>
      </c>
      <c r="F58" s="192">
        <f t="shared" si="15"/>
        <v>228</v>
      </c>
      <c r="G58" s="186">
        <f t="shared" si="16"/>
        <v>2.9510742945896951E-2</v>
      </c>
    </row>
    <row r="59" spans="1:9" ht="18.600000000000001" customHeight="1" thickBot="1" x14ac:dyDescent="0.45">
      <c r="A59" s="177" t="s">
        <v>36</v>
      </c>
      <c r="B59" s="102" t="s">
        <v>11</v>
      </c>
      <c r="C59" s="178">
        <v>14040</v>
      </c>
      <c r="D59" s="114">
        <v>7607</v>
      </c>
      <c r="E59" s="113">
        <v>6433</v>
      </c>
      <c r="F59" s="197">
        <f t="shared" si="15"/>
        <v>1174</v>
      </c>
      <c r="G59" s="198">
        <f t="shared" si="16"/>
        <v>8.3618233618233617E-2</v>
      </c>
    </row>
    <row r="60" spans="1:9" ht="18.600000000000001" customHeight="1" x14ac:dyDescent="0.4">
      <c r="A60" s="265" t="s">
        <v>143</v>
      </c>
      <c r="B60" s="266"/>
      <c r="C60" s="266"/>
      <c r="D60" s="266"/>
      <c r="E60" s="266"/>
      <c r="F60" s="266"/>
      <c r="G60" s="266"/>
      <c r="H60" s="267"/>
    </row>
    <row r="61" spans="1:9" ht="18.600000000000001" customHeight="1" x14ac:dyDescent="0.4">
      <c r="A61" s="270" t="s">
        <v>0</v>
      </c>
      <c r="B61" s="271" t="s">
        <v>1</v>
      </c>
      <c r="C61" s="272" t="s">
        <v>130</v>
      </c>
      <c r="D61" s="3" t="s">
        <v>18</v>
      </c>
      <c r="E61" s="3" t="s">
        <v>18</v>
      </c>
      <c r="F61" s="3" t="s">
        <v>20</v>
      </c>
      <c r="G61" s="268" t="s">
        <v>115</v>
      </c>
      <c r="H61" s="297" t="s">
        <v>141</v>
      </c>
    </row>
    <row r="62" spans="1:9" ht="18.600000000000001" customHeight="1" x14ac:dyDescent="0.4">
      <c r="A62" s="270"/>
      <c r="B62" s="271"/>
      <c r="C62" s="272"/>
      <c r="D62" s="3" t="s">
        <v>58</v>
      </c>
      <c r="E62" s="3" t="s">
        <v>59</v>
      </c>
      <c r="F62" s="3" t="s">
        <v>60</v>
      </c>
      <c r="G62" s="268"/>
      <c r="H62" s="297"/>
    </row>
    <row r="63" spans="1:9" ht="18.600000000000001" customHeight="1" x14ac:dyDescent="0.4">
      <c r="A63" s="67" t="s">
        <v>12</v>
      </c>
      <c r="B63" s="7"/>
      <c r="C63" s="5">
        <v>15709</v>
      </c>
      <c r="D63" s="9">
        <v>6827</v>
      </c>
      <c r="E63" s="8">
        <v>3050</v>
      </c>
      <c r="F63" s="8">
        <v>5832</v>
      </c>
      <c r="G63" s="192">
        <f>(D63+E63)-F63</f>
        <v>4045</v>
      </c>
      <c r="H63" s="186">
        <f>((D63+E63)/C63)-(F63/C63)</f>
        <v>0.2574957031001337</v>
      </c>
    </row>
    <row r="64" spans="1:9" ht="18.600000000000001" customHeight="1" x14ac:dyDescent="0.4">
      <c r="A64" s="67" t="s">
        <v>13</v>
      </c>
      <c r="B64" s="7"/>
      <c r="C64" s="6">
        <v>65</v>
      </c>
      <c r="D64" s="59">
        <v>29</v>
      </c>
      <c r="E64" s="10">
        <v>17</v>
      </c>
      <c r="F64" s="10">
        <v>19</v>
      </c>
      <c r="G64" s="192">
        <f>(D64+E64)-F64</f>
        <v>27</v>
      </c>
      <c r="H64" s="186">
        <f t="shared" ref="H64:H67" si="17">((D64+E64)/C64)-(F64/C64)</f>
        <v>0.41538461538461541</v>
      </c>
    </row>
    <row r="65" spans="1:11" ht="18.600000000000001" customHeight="1" x14ac:dyDescent="0.4">
      <c r="A65" s="67" t="s">
        <v>14</v>
      </c>
      <c r="B65" s="7"/>
      <c r="C65" s="5">
        <v>1766</v>
      </c>
      <c r="D65" s="59">
        <v>864</v>
      </c>
      <c r="E65" s="10">
        <v>347</v>
      </c>
      <c r="F65" s="10">
        <v>555</v>
      </c>
      <c r="G65" s="192">
        <f>(D65+E65)-F65</f>
        <v>656</v>
      </c>
      <c r="H65" s="186">
        <f t="shared" si="17"/>
        <v>0.37146092865232161</v>
      </c>
    </row>
    <row r="66" spans="1:11" ht="18.600000000000001" customHeight="1" x14ac:dyDescent="0.4">
      <c r="A66" s="67" t="s">
        <v>27</v>
      </c>
      <c r="B66" s="7" t="s">
        <v>11</v>
      </c>
      <c r="C66" s="5">
        <v>6278</v>
      </c>
      <c r="D66" s="9">
        <v>3107</v>
      </c>
      <c r="E66" s="8">
        <v>1203</v>
      </c>
      <c r="F66" s="8">
        <v>1968</v>
      </c>
      <c r="G66" s="192">
        <f>(D66+E66)-F66</f>
        <v>2342</v>
      </c>
      <c r="H66" s="186">
        <f t="shared" si="17"/>
        <v>0.37304874163746415</v>
      </c>
    </row>
    <row r="67" spans="1:11" ht="18.600000000000001" customHeight="1" thickBot="1" x14ac:dyDescent="0.45">
      <c r="A67" s="177" t="s">
        <v>32</v>
      </c>
      <c r="B67" s="102" t="s">
        <v>11</v>
      </c>
      <c r="C67" s="178">
        <v>7581</v>
      </c>
      <c r="D67" s="114">
        <v>2820</v>
      </c>
      <c r="E67" s="113">
        <v>1477</v>
      </c>
      <c r="F67" s="113">
        <v>3284</v>
      </c>
      <c r="G67" s="197">
        <f>(D67+E67)-F67</f>
        <v>1013</v>
      </c>
      <c r="H67" s="198">
        <f t="shared" si="17"/>
        <v>0.1336235325154993</v>
      </c>
    </row>
    <row r="68" spans="1:11" ht="18.600000000000001" customHeight="1" x14ac:dyDescent="0.4">
      <c r="A68" s="273" t="s">
        <v>0</v>
      </c>
      <c r="B68" s="274" t="s">
        <v>1</v>
      </c>
      <c r="C68" s="275" t="s">
        <v>130</v>
      </c>
      <c r="D68" s="66" t="s">
        <v>18</v>
      </c>
      <c r="E68" s="66" t="s">
        <v>18</v>
      </c>
      <c r="F68" s="66" t="s">
        <v>20</v>
      </c>
      <c r="G68" s="66" t="s">
        <v>64</v>
      </c>
      <c r="H68" s="277" t="s">
        <v>115</v>
      </c>
      <c r="I68" s="275" t="s">
        <v>118</v>
      </c>
      <c r="J68" s="277" t="s">
        <v>141</v>
      </c>
      <c r="K68" s="299" t="s">
        <v>140</v>
      </c>
    </row>
    <row r="69" spans="1:11" ht="18.600000000000001" customHeight="1" x14ac:dyDescent="0.4">
      <c r="A69" s="270"/>
      <c r="B69" s="271"/>
      <c r="C69" s="272"/>
      <c r="D69" s="3" t="s">
        <v>61</v>
      </c>
      <c r="E69" s="3" t="s">
        <v>62</v>
      </c>
      <c r="F69" s="3" t="s">
        <v>63</v>
      </c>
      <c r="G69" s="3" t="s">
        <v>65</v>
      </c>
      <c r="H69" s="268"/>
      <c r="I69" s="272"/>
      <c r="J69" s="268"/>
      <c r="K69" s="276"/>
    </row>
    <row r="70" spans="1:11" ht="18.600000000000001" customHeight="1" x14ac:dyDescent="0.4">
      <c r="A70" s="67" t="s">
        <v>12</v>
      </c>
      <c r="B70" s="7"/>
      <c r="C70" s="5">
        <v>15953</v>
      </c>
      <c r="D70" s="9">
        <v>6620</v>
      </c>
      <c r="E70" s="8">
        <v>2374</v>
      </c>
      <c r="F70" s="8">
        <v>6017</v>
      </c>
      <c r="G70" s="10">
        <v>942</v>
      </c>
      <c r="H70" s="192">
        <f>(D70+E70)-F70</f>
        <v>2977</v>
      </c>
      <c r="I70" s="75">
        <f>(D70+E70+G70)-F70</f>
        <v>3919</v>
      </c>
      <c r="J70" s="189">
        <f>((D70+E70)/C70)-(F70/C70)</f>
        <v>0.18661066883971666</v>
      </c>
      <c r="K70" s="132">
        <f>((D70+E70+G70)/C70)-(F70/C70)</f>
        <v>0.24565912367579767</v>
      </c>
    </row>
    <row r="71" spans="1:11" ht="18.600000000000001" customHeight="1" x14ac:dyDescent="0.4">
      <c r="A71" s="67" t="s">
        <v>13</v>
      </c>
      <c r="B71" s="7"/>
      <c r="C71" s="6">
        <v>44</v>
      </c>
      <c r="D71" s="10">
        <v>14</v>
      </c>
      <c r="E71" s="10">
        <v>11</v>
      </c>
      <c r="F71" s="11">
        <v>18</v>
      </c>
      <c r="G71" s="10">
        <v>1</v>
      </c>
      <c r="H71" s="192">
        <f t="shared" ref="H71:H73" si="18">(D71+E71)-F71</f>
        <v>7</v>
      </c>
      <c r="I71" s="75">
        <f t="shared" ref="I71:I73" si="19">(D71+E71+G71)-F71</f>
        <v>8</v>
      </c>
      <c r="J71" s="189">
        <f t="shared" ref="J71:J73" si="20">((D71+E71)/C71)-(F71/C71)</f>
        <v>0.15909090909090912</v>
      </c>
      <c r="K71" s="132">
        <f t="shared" ref="K71:K73" si="21">((D71+E71+G71)/C71)-(F71/C71)</f>
        <v>0.18181818181818182</v>
      </c>
    </row>
    <row r="72" spans="1:11" ht="18.600000000000001" customHeight="1" x14ac:dyDescent="0.4">
      <c r="A72" s="67" t="s">
        <v>14</v>
      </c>
      <c r="B72" s="7"/>
      <c r="C72" s="5">
        <v>2162</v>
      </c>
      <c r="D72" s="9">
        <v>1011</v>
      </c>
      <c r="E72" s="10">
        <v>328</v>
      </c>
      <c r="F72" s="10">
        <v>687</v>
      </c>
      <c r="G72" s="10">
        <v>136</v>
      </c>
      <c r="H72" s="192">
        <f t="shared" si="18"/>
        <v>652</v>
      </c>
      <c r="I72" s="75">
        <f t="shared" si="19"/>
        <v>788</v>
      </c>
      <c r="J72" s="189">
        <f t="shared" si="20"/>
        <v>0.30157261794634599</v>
      </c>
      <c r="K72" s="132">
        <f t="shared" si="21"/>
        <v>0.36447733580018499</v>
      </c>
    </row>
    <row r="73" spans="1:11" ht="18.600000000000001" customHeight="1" thickBot="1" x14ac:dyDescent="0.45">
      <c r="A73" s="175" t="s">
        <v>36</v>
      </c>
      <c r="B73" s="176" t="s">
        <v>11</v>
      </c>
      <c r="C73" s="149">
        <v>13726</v>
      </c>
      <c r="D73" s="107">
        <v>5580</v>
      </c>
      <c r="E73" s="112">
        <v>2034</v>
      </c>
      <c r="F73" s="112">
        <v>5308</v>
      </c>
      <c r="G73" s="109">
        <v>804</v>
      </c>
      <c r="H73" s="199">
        <f t="shared" si="18"/>
        <v>2306</v>
      </c>
      <c r="I73" s="133">
        <f t="shared" si="19"/>
        <v>3110</v>
      </c>
      <c r="J73" s="200">
        <f t="shared" si="20"/>
        <v>0.16800233134197873</v>
      </c>
      <c r="K73" s="134">
        <f t="shared" si="21"/>
        <v>0.2265772985574821</v>
      </c>
    </row>
    <row r="74" spans="1:11" ht="54" customHeight="1" thickBot="1" x14ac:dyDescent="0.45"/>
    <row r="75" spans="1:11" ht="16.2" customHeight="1" x14ac:dyDescent="0.4">
      <c r="A75" s="265" t="s">
        <v>146</v>
      </c>
      <c r="B75" s="266"/>
      <c r="C75" s="266"/>
      <c r="D75" s="266"/>
      <c r="E75" s="266"/>
      <c r="F75" s="266"/>
      <c r="G75" s="267"/>
    </row>
    <row r="76" spans="1:11" ht="16.2" customHeight="1" x14ac:dyDescent="0.4">
      <c r="A76" s="270" t="s">
        <v>0</v>
      </c>
      <c r="B76" s="271" t="s">
        <v>1</v>
      </c>
      <c r="C76" s="272" t="s">
        <v>130</v>
      </c>
      <c r="D76" s="3" t="s">
        <v>18</v>
      </c>
      <c r="E76" s="3" t="s">
        <v>20</v>
      </c>
      <c r="F76" s="268" t="s">
        <v>107</v>
      </c>
      <c r="G76" s="269" t="s">
        <v>128</v>
      </c>
    </row>
    <row r="77" spans="1:11" ht="16.2" customHeight="1" x14ac:dyDescent="0.4">
      <c r="A77" s="270"/>
      <c r="B77" s="271"/>
      <c r="C77" s="272"/>
      <c r="D77" s="3" t="s">
        <v>47</v>
      </c>
      <c r="E77" s="3" t="s">
        <v>48</v>
      </c>
      <c r="F77" s="268"/>
      <c r="G77" s="269"/>
    </row>
    <row r="78" spans="1:11" ht="16.2" customHeight="1" x14ac:dyDescent="0.4">
      <c r="A78" s="67" t="s">
        <v>12</v>
      </c>
      <c r="B78" s="7"/>
      <c r="C78" s="5">
        <v>35324</v>
      </c>
      <c r="D78" s="9">
        <v>17831</v>
      </c>
      <c r="E78" s="8">
        <v>17493</v>
      </c>
      <c r="F78" s="192">
        <f>D78-E78</f>
        <v>338</v>
      </c>
      <c r="G78" s="186">
        <f>(D78/C78)-(E78/C78)</f>
        <v>9.5685652813950473E-3</v>
      </c>
    </row>
    <row r="79" spans="1:11" ht="16.2" customHeight="1" x14ac:dyDescent="0.4">
      <c r="A79" s="67" t="s">
        <v>13</v>
      </c>
      <c r="B79" s="7"/>
      <c r="C79" s="6">
        <v>89</v>
      </c>
      <c r="D79" s="10">
        <v>41</v>
      </c>
      <c r="E79" s="11">
        <v>48</v>
      </c>
      <c r="F79" s="195">
        <f t="shared" ref="F79:F87" si="22">D79-E79</f>
        <v>-7</v>
      </c>
      <c r="G79" s="185">
        <f t="shared" ref="G79:G87" si="23">(D79/C79)-(E79/C79)</f>
        <v>-7.8651685393258397E-2</v>
      </c>
    </row>
    <row r="80" spans="1:11" ht="16.2" customHeight="1" x14ac:dyDescent="0.4">
      <c r="A80" s="67" t="s">
        <v>14</v>
      </c>
      <c r="B80" s="7"/>
      <c r="C80" s="5">
        <v>4001</v>
      </c>
      <c r="D80" s="9">
        <v>2453</v>
      </c>
      <c r="E80" s="8">
        <v>1548</v>
      </c>
      <c r="F80" s="192">
        <f t="shared" si="22"/>
        <v>905</v>
      </c>
      <c r="G80" s="186">
        <f t="shared" si="23"/>
        <v>0.2261934516370907</v>
      </c>
    </row>
    <row r="81" spans="1:12" ht="16.2" customHeight="1" x14ac:dyDescent="0.4">
      <c r="A81" s="67" t="s">
        <v>28</v>
      </c>
      <c r="B81" s="7" t="s">
        <v>11</v>
      </c>
      <c r="C81" s="5">
        <v>4178</v>
      </c>
      <c r="D81" s="8">
        <v>2029</v>
      </c>
      <c r="E81" s="12">
        <v>2149</v>
      </c>
      <c r="F81" s="195">
        <f t="shared" si="22"/>
        <v>-120</v>
      </c>
      <c r="G81" s="185">
        <f t="shared" si="23"/>
        <v>-2.8721876495931109E-2</v>
      </c>
    </row>
    <row r="82" spans="1:12" ht="16.2" customHeight="1" x14ac:dyDescent="0.4">
      <c r="A82" s="67" t="s">
        <v>29</v>
      </c>
      <c r="B82" s="7" t="s">
        <v>11</v>
      </c>
      <c r="C82" s="5">
        <v>2640</v>
      </c>
      <c r="D82" s="8">
        <v>1134</v>
      </c>
      <c r="E82" s="12">
        <v>1506</v>
      </c>
      <c r="F82" s="195">
        <f t="shared" si="22"/>
        <v>-372</v>
      </c>
      <c r="G82" s="185">
        <f t="shared" si="23"/>
        <v>-0.14090909090909087</v>
      </c>
    </row>
    <row r="83" spans="1:12" ht="16.2" customHeight="1" x14ac:dyDescent="0.4">
      <c r="A83" s="67" t="s">
        <v>30</v>
      </c>
      <c r="B83" s="7" t="s">
        <v>11</v>
      </c>
      <c r="C83" s="5">
        <v>3671</v>
      </c>
      <c r="D83" s="8">
        <v>1630</v>
      </c>
      <c r="E83" s="12">
        <v>2041</v>
      </c>
      <c r="F83" s="195">
        <f t="shared" si="22"/>
        <v>-411</v>
      </c>
      <c r="G83" s="185">
        <f t="shared" si="23"/>
        <v>-0.11195859438845002</v>
      </c>
    </row>
    <row r="84" spans="1:12" ht="16.2" customHeight="1" x14ac:dyDescent="0.4">
      <c r="A84" s="67" t="s">
        <v>31</v>
      </c>
      <c r="B84" s="7" t="s">
        <v>11</v>
      </c>
      <c r="C84" s="5">
        <v>2311</v>
      </c>
      <c r="D84" s="8">
        <v>1088</v>
      </c>
      <c r="E84" s="12">
        <v>1223</v>
      </c>
      <c r="F84" s="195">
        <f t="shared" si="22"/>
        <v>-135</v>
      </c>
      <c r="G84" s="185">
        <f t="shared" si="23"/>
        <v>-5.8416270012981386E-2</v>
      </c>
    </row>
    <row r="85" spans="1:12" ht="16.2" customHeight="1" x14ac:dyDescent="0.4">
      <c r="A85" s="67" t="s">
        <v>33</v>
      </c>
      <c r="B85" s="7" t="s">
        <v>11</v>
      </c>
      <c r="C85" s="5">
        <v>7435</v>
      </c>
      <c r="D85" s="9">
        <v>3895</v>
      </c>
      <c r="E85" s="8">
        <v>3540</v>
      </c>
      <c r="F85" s="192">
        <f t="shared" si="22"/>
        <v>355</v>
      </c>
      <c r="G85" s="186">
        <f t="shared" si="23"/>
        <v>4.7747141896435752E-2</v>
      </c>
    </row>
    <row r="86" spans="1:12" ht="16.2" customHeight="1" x14ac:dyDescent="0.4">
      <c r="A86" s="67" t="s">
        <v>34</v>
      </c>
      <c r="B86" s="7" t="s">
        <v>11</v>
      </c>
      <c r="C86" s="5">
        <v>3598</v>
      </c>
      <c r="D86" s="8">
        <v>1707</v>
      </c>
      <c r="E86" s="12">
        <v>1891</v>
      </c>
      <c r="F86" s="195">
        <f t="shared" si="22"/>
        <v>-184</v>
      </c>
      <c r="G86" s="185">
        <f t="shared" si="23"/>
        <v>-5.113952195664262E-2</v>
      </c>
    </row>
    <row r="87" spans="1:12" ht="16.2" customHeight="1" thickBot="1" x14ac:dyDescent="0.45">
      <c r="A87" s="177" t="s">
        <v>35</v>
      </c>
      <c r="B87" s="102" t="s">
        <v>11</v>
      </c>
      <c r="C87" s="178">
        <v>7385</v>
      </c>
      <c r="D87" s="114">
        <v>3840</v>
      </c>
      <c r="E87" s="113">
        <v>3545</v>
      </c>
      <c r="F87" s="197">
        <f t="shared" si="22"/>
        <v>295</v>
      </c>
      <c r="G87" s="198">
        <f t="shared" si="23"/>
        <v>3.9945836154366976E-2</v>
      </c>
    </row>
    <row r="88" spans="1:12" ht="16.2" customHeight="1" x14ac:dyDescent="0.4">
      <c r="A88" s="265" t="s">
        <v>147</v>
      </c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7"/>
    </row>
    <row r="89" spans="1:12" ht="16.2" customHeight="1" x14ac:dyDescent="0.4">
      <c r="A89" s="270" t="s">
        <v>0</v>
      </c>
      <c r="B89" s="271" t="s">
        <v>1</v>
      </c>
      <c r="C89" s="272" t="s">
        <v>130</v>
      </c>
      <c r="D89" s="3" t="s">
        <v>18</v>
      </c>
      <c r="E89" s="3" t="s">
        <v>20</v>
      </c>
      <c r="F89" s="3" t="s">
        <v>20</v>
      </c>
      <c r="G89" s="3" t="s">
        <v>39</v>
      </c>
      <c r="H89" s="3" t="s">
        <v>43</v>
      </c>
      <c r="I89" s="268" t="s">
        <v>119</v>
      </c>
      <c r="J89" s="272" t="s">
        <v>120</v>
      </c>
      <c r="K89" s="268" t="s">
        <v>144</v>
      </c>
      <c r="L89" s="276" t="s">
        <v>145</v>
      </c>
    </row>
    <row r="90" spans="1:12" ht="21" customHeight="1" x14ac:dyDescent="0.4">
      <c r="A90" s="270"/>
      <c r="B90" s="271"/>
      <c r="C90" s="272"/>
      <c r="D90" s="3" t="s">
        <v>66</v>
      </c>
      <c r="E90" s="3" t="s">
        <v>67</v>
      </c>
      <c r="F90" s="3" t="s">
        <v>68</v>
      </c>
      <c r="G90" s="3" t="s">
        <v>69</v>
      </c>
      <c r="H90" s="3" t="s">
        <v>70</v>
      </c>
      <c r="I90" s="268"/>
      <c r="J90" s="272"/>
      <c r="K90" s="268"/>
      <c r="L90" s="276"/>
    </row>
    <row r="91" spans="1:12" ht="16.2" customHeight="1" x14ac:dyDescent="0.4">
      <c r="A91" s="67" t="s">
        <v>12</v>
      </c>
      <c r="B91" s="7"/>
      <c r="C91" s="5">
        <v>14125</v>
      </c>
      <c r="D91" s="8">
        <v>5280</v>
      </c>
      <c r="E91" s="12">
        <v>5340</v>
      </c>
      <c r="F91" s="8">
        <v>1962</v>
      </c>
      <c r="G91" s="10">
        <v>584</v>
      </c>
      <c r="H91" s="10">
        <v>959</v>
      </c>
      <c r="I91" s="195">
        <f>D91-(E91+F91)</f>
        <v>-2022</v>
      </c>
      <c r="J91" s="74">
        <f>D91-(E91+F91+G91+H91)</f>
        <v>-3565</v>
      </c>
      <c r="K91" s="190">
        <f>(D91/C91)-((E91+F91)/C91)</f>
        <v>-0.14315044247787617</v>
      </c>
      <c r="L91" s="115">
        <f>(D91/C91)-((E91+F91+G91+H91)/C91)</f>
        <v>-0.25238938053097343</v>
      </c>
    </row>
    <row r="92" spans="1:12" ht="16.2" customHeight="1" x14ac:dyDescent="0.4">
      <c r="A92" s="67" t="s">
        <v>13</v>
      </c>
      <c r="B92" s="7"/>
      <c r="C92" s="6">
        <v>54</v>
      </c>
      <c r="D92" s="10">
        <v>18</v>
      </c>
      <c r="E92" s="11">
        <v>21</v>
      </c>
      <c r="F92" s="10">
        <v>5</v>
      </c>
      <c r="G92" s="10">
        <v>4</v>
      </c>
      <c r="H92" s="10">
        <v>6</v>
      </c>
      <c r="I92" s="195">
        <f t="shared" ref="I92:I97" si="24">D92-(E92+F92)</f>
        <v>-8</v>
      </c>
      <c r="J92" s="74">
        <f t="shared" ref="J92:J97" si="25">D92-(E92+F92+G92+H92)</f>
        <v>-18</v>
      </c>
      <c r="K92" s="190">
        <f t="shared" ref="K92:K97" si="26">(D92/C92)-((E92+F92)/C92)</f>
        <v>-0.14814814814814814</v>
      </c>
      <c r="L92" s="115">
        <f t="shared" ref="L92:L97" si="27">(D92/C92)-((E92+F92+G92+H92)/C92)</f>
        <v>-0.33333333333333331</v>
      </c>
    </row>
    <row r="93" spans="1:12" ht="16.2" customHeight="1" x14ac:dyDescent="0.4">
      <c r="A93" s="67" t="s">
        <v>14</v>
      </c>
      <c r="B93" s="7"/>
      <c r="C93" s="5">
        <v>1405</v>
      </c>
      <c r="D93" s="59">
        <v>736</v>
      </c>
      <c r="E93" s="10">
        <v>449</v>
      </c>
      <c r="F93" s="10">
        <v>122</v>
      </c>
      <c r="G93" s="10">
        <v>37</v>
      </c>
      <c r="H93" s="10">
        <v>61</v>
      </c>
      <c r="I93" s="192">
        <f t="shared" si="24"/>
        <v>165</v>
      </c>
      <c r="J93" s="75">
        <f t="shared" si="25"/>
        <v>67</v>
      </c>
      <c r="K93" s="189">
        <f t="shared" si="26"/>
        <v>0.11743772241992884</v>
      </c>
      <c r="L93" s="117">
        <f t="shared" si="27"/>
        <v>4.7686832740213569E-2</v>
      </c>
    </row>
    <row r="94" spans="1:12" ht="16.2" customHeight="1" x14ac:dyDescent="0.4">
      <c r="A94" s="67" t="s">
        <v>28</v>
      </c>
      <c r="B94" s="7" t="s">
        <v>11</v>
      </c>
      <c r="C94" s="5">
        <v>4107</v>
      </c>
      <c r="D94" s="8">
        <v>1648</v>
      </c>
      <c r="E94" s="12">
        <v>1657</v>
      </c>
      <c r="F94" s="10">
        <v>649</v>
      </c>
      <c r="G94" s="10">
        <v>54</v>
      </c>
      <c r="H94" s="10">
        <v>99</v>
      </c>
      <c r="I94" s="195">
        <f t="shared" si="24"/>
        <v>-658</v>
      </c>
      <c r="J94" s="74">
        <f t="shared" si="25"/>
        <v>-811</v>
      </c>
      <c r="K94" s="190">
        <f t="shared" si="26"/>
        <v>-0.1602142683223764</v>
      </c>
      <c r="L94" s="115">
        <f t="shared" si="27"/>
        <v>-0.19746773800827855</v>
      </c>
    </row>
    <row r="95" spans="1:12" ht="16.2" customHeight="1" x14ac:dyDescent="0.4">
      <c r="A95" s="67" t="s">
        <v>29</v>
      </c>
      <c r="B95" s="7" t="s">
        <v>11</v>
      </c>
      <c r="C95" s="5">
        <v>2612</v>
      </c>
      <c r="D95" s="10">
        <v>877</v>
      </c>
      <c r="E95" s="12">
        <v>1159</v>
      </c>
      <c r="F95" s="10">
        <v>431</v>
      </c>
      <c r="G95" s="10">
        <v>39</v>
      </c>
      <c r="H95" s="10">
        <v>106</v>
      </c>
      <c r="I95" s="195">
        <f t="shared" si="24"/>
        <v>-713</v>
      </c>
      <c r="J95" s="74">
        <f t="shared" si="25"/>
        <v>-858</v>
      </c>
      <c r="K95" s="190">
        <f t="shared" si="26"/>
        <v>-0.27297090352220521</v>
      </c>
      <c r="L95" s="115">
        <f t="shared" si="27"/>
        <v>-0.32848392036753449</v>
      </c>
    </row>
    <row r="96" spans="1:12" ht="16.2" customHeight="1" x14ac:dyDescent="0.4">
      <c r="A96" s="67" t="s">
        <v>30</v>
      </c>
      <c r="B96" s="7" t="s">
        <v>11</v>
      </c>
      <c r="C96" s="5">
        <v>3650</v>
      </c>
      <c r="D96" s="8">
        <v>1176</v>
      </c>
      <c r="E96" s="12">
        <v>1202</v>
      </c>
      <c r="F96" s="10">
        <v>562</v>
      </c>
      <c r="G96" s="10">
        <v>154</v>
      </c>
      <c r="H96" s="10">
        <v>556</v>
      </c>
      <c r="I96" s="195">
        <f t="shared" si="24"/>
        <v>-588</v>
      </c>
      <c r="J96" s="74">
        <f t="shared" si="25"/>
        <v>-1298</v>
      </c>
      <c r="K96" s="190">
        <f t="shared" si="26"/>
        <v>-0.1610958904109589</v>
      </c>
      <c r="L96" s="115">
        <f t="shared" si="27"/>
        <v>-0.35561643835616441</v>
      </c>
    </row>
    <row r="97" spans="1:13" ht="16.2" customHeight="1" thickBot="1" x14ac:dyDescent="0.45">
      <c r="A97" s="175" t="s">
        <v>31</v>
      </c>
      <c r="B97" s="176" t="s">
        <v>11</v>
      </c>
      <c r="C97" s="149">
        <v>2290</v>
      </c>
      <c r="D97" s="109">
        <v>823</v>
      </c>
      <c r="E97" s="123">
        <v>850</v>
      </c>
      <c r="F97" s="109">
        <v>190</v>
      </c>
      <c r="G97" s="109">
        <v>296</v>
      </c>
      <c r="H97" s="109">
        <v>131</v>
      </c>
      <c r="I97" s="193">
        <f t="shared" si="24"/>
        <v>-217</v>
      </c>
      <c r="J97" s="111">
        <f t="shared" si="25"/>
        <v>-644</v>
      </c>
      <c r="K97" s="194">
        <f t="shared" si="26"/>
        <v>-9.4759825327510927E-2</v>
      </c>
      <c r="L97" s="116">
        <f t="shared" si="27"/>
        <v>-0.28122270742358074</v>
      </c>
    </row>
    <row r="98" spans="1:13" ht="16.2" customHeight="1" x14ac:dyDescent="0.4">
      <c r="A98" s="273" t="s">
        <v>0</v>
      </c>
      <c r="B98" s="274" t="s">
        <v>1</v>
      </c>
      <c r="C98" s="275" t="s">
        <v>130</v>
      </c>
      <c r="D98" s="66" t="s">
        <v>18</v>
      </c>
      <c r="E98" s="66" t="s">
        <v>18</v>
      </c>
      <c r="F98" s="66" t="s">
        <v>20</v>
      </c>
      <c r="G98" s="277" t="s">
        <v>115</v>
      </c>
      <c r="H98" s="278" t="s">
        <v>141</v>
      </c>
    </row>
    <row r="99" spans="1:13" ht="16.2" customHeight="1" x14ac:dyDescent="0.4">
      <c r="A99" s="270"/>
      <c r="B99" s="271"/>
      <c r="C99" s="272"/>
      <c r="D99" s="3" t="s">
        <v>71</v>
      </c>
      <c r="E99" s="3" t="s">
        <v>72</v>
      </c>
      <c r="F99" s="3" t="s">
        <v>73</v>
      </c>
      <c r="G99" s="268"/>
      <c r="H99" s="269"/>
    </row>
    <row r="100" spans="1:13" ht="16.2" customHeight="1" x14ac:dyDescent="0.4">
      <c r="A100" s="67" t="s">
        <v>12</v>
      </c>
      <c r="B100" s="7"/>
      <c r="C100" s="5">
        <v>20834</v>
      </c>
      <c r="D100" s="8">
        <v>8614</v>
      </c>
      <c r="E100" s="8">
        <v>2580</v>
      </c>
      <c r="F100" s="12">
        <v>9640</v>
      </c>
      <c r="G100" s="192">
        <f>(D100+E100)-F100</f>
        <v>1554</v>
      </c>
      <c r="H100" s="186">
        <f>((D100+E100)/C100)-(F100/C100)</f>
        <v>7.4589613132379773E-2</v>
      </c>
    </row>
    <row r="101" spans="1:13" ht="16.2" customHeight="1" x14ac:dyDescent="0.4">
      <c r="A101" s="67" t="s">
        <v>13</v>
      </c>
      <c r="B101" s="7"/>
      <c r="C101" s="6">
        <v>37</v>
      </c>
      <c r="D101" s="10">
        <v>13</v>
      </c>
      <c r="E101" s="10">
        <v>5</v>
      </c>
      <c r="F101" s="11">
        <v>19</v>
      </c>
      <c r="G101" s="195">
        <f t="shared" ref="G101:G105" si="28">(D101+E101)-F101</f>
        <v>-1</v>
      </c>
      <c r="H101" s="185">
        <f t="shared" ref="H101:H105" si="29">((D101+E101)/C101)-(F101/C101)</f>
        <v>-2.7027027027026973E-2</v>
      </c>
    </row>
    <row r="102" spans="1:13" ht="16.2" customHeight="1" x14ac:dyDescent="0.4">
      <c r="A102" s="67" t="s">
        <v>14</v>
      </c>
      <c r="B102" s="7"/>
      <c r="C102" s="5">
        <v>2590</v>
      </c>
      <c r="D102" s="9">
        <v>1230</v>
      </c>
      <c r="E102" s="10">
        <v>361</v>
      </c>
      <c r="F102" s="10">
        <v>999</v>
      </c>
      <c r="G102" s="192">
        <f t="shared" si="28"/>
        <v>592</v>
      </c>
      <c r="H102" s="186">
        <f t="shared" si="29"/>
        <v>0.22857142857142859</v>
      </c>
    </row>
    <row r="103" spans="1:13" ht="16.2" customHeight="1" x14ac:dyDescent="0.4">
      <c r="A103" s="67" t="s">
        <v>33</v>
      </c>
      <c r="B103" s="7" t="s">
        <v>11</v>
      </c>
      <c r="C103" s="5">
        <v>7368</v>
      </c>
      <c r="D103" s="8">
        <v>3040</v>
      </c>
      <c r="E103" s="10">
        <v>792</v>
      </c>
      <c r="F103" s="12">
        <v>3536</v>
      </c>
      <c r="G103" s="192">
        <f t="shared" si="28"/>
        <v>296</v>
      </c>
      <c r="H103" s="186">
        <f t="shared" si="29"/>
        <v>4.0173724212812179E-2</v>
      </c>
      <c r="I103" s="62"/>
    </row>
    <row r="104" spans="1:13" ht="16.2" customHeight="1" x14ac:dyDescent="0.4">
      <c r="A104" s="67" t="s">
        <v>34</v>
      </c>
      <c r="B104" s="7" t="s">
        <v>11</v>
      </c>
      <c r="C104" s="5">
        <v>3552</v>
      </c>
      <c r="D104" s="8">
        <v>1302</v>
      </c>
      <c r="E104" s="10">
        <v>424</v>
      </c>
      <c r="F104" s="12">
        <v>1826</v>
      </c>
      <c r="G104" s="195">
        <f t="shared" si="28"/>
        <v>-100</v>
      </c>
      <c r="H104" s="185">
        <f t="shared" si="29"/>
        <v>-2.8153153153153143E-2</v>
      </c>
    </row>
    <row r="105" spans="1:13" ht="16.2" customHeight="1" thickBot="1" x14ac:dyDescent="0.45">
      <c r="A105" s="175" t="s">
        <v>35</v>
      </c>
      <c r="B105" s="176" t="s">
        <v>11</v>
      </c>
      <c r="C105" s="149">
        <v>7267</v>
      </c>
      <c r="D105" s="112">
        <v>3019</v>
      </c>
      <c r="E105" s="109">
        <v>996</v>
      </c>
      <c r="F105" s="110">
        <v>3252</v>
      </c>
      <c r="G105" s="199">
        <f t="shared" si="28"/>
        <v>763</v>
      </c>
      <c r="H105" s="187">
        <f t="shared" si="29"/>
        <v>0.10499518370716943</v>
      </c>
    </row>
    <row r="106" spans="1:13" ht="18.600000000000001" customHeight="1" thickBot="1" x14ac:dyDescent="0.45"/>
    <row r="107" spans="1:13" ht="18.600000000000001" customHeight="1" x14ac:dyDescent="0.4">
      <c r="A107" s="265" t="s">
        <v>148</v>
      </c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7"/>
    </row>
    <row r="108" spans="1:13" ht="18.600000000000001" customHeight="1" x14ac:dyDescent="0.4">
      <c r="A108" s="270" t="s">
        <v>0</v>
      </c>
      <c r="B108" s="271" t="s">
        <v>1</v>
      </c>
      <c r="C108" s="272" t="s">
        <v>130</v>
      </c>
      <c r="D108" s="271" t="s">
        <v>83</v>
      </c>
      <c r="E108" s="271"/>
      <c r="F108" s="271"/>
      <c r="G108" s="271"/>
      <c r="H108" s="271"/>
      <c r="I108" s="271"/>
      <c r="J108" s="268" t="s">
        <v>106</v>
      </c>
      <c r="K108" s="271" t="s">
        <v>122</v>
      </c>
      <c r="L108" s="268" t="s">
        <v>123</v>
      </c>
      <c r="M108" s="282" t="s">
        <v>121</v>
      </c>
    </row>
    <row r="109" spans="1:13" ht="18.600000000000001" customHeight="1" x14ac:dyDescent="0.4">
      <c r="A109" s="270"/>
      <c r="B109" s="271"/>
      <c r="C109" s="272"/>
      <c r="D109" s="3" t="s">
        <v>18</v>
      </c>
      <c r="E109" s="3" t="s">
        <v>20</v>
      </c>
      <c r="F109" s="3" t="s">
        <v>84</v>
      </c>
      <c r="G109" s="3" t="s">
        <v>64</v>
      </c>
      <c r="H109" s="3" t="s">
        <v>85</v>
      </c>
      <c r="I109" s="3" t="s">
        <v>86</v>
      </c>
      <c r="J109" s="268"/>
      <c r="K109" s="271"/>
      <c r="L109" s="268"/>
      <c r="M109" s="282"/>
    </row>
    <row r="110" spans="1:13" ht="18.600000000000001" customHeight="1" x14ac:dyDescent="0.4">
      <c r="A110" s="67" t="s">
        <v>12</v>
      </c>
      <c r="B110" s="7"/>
      <c r="C110" s="5">
        <v>86963</v>
      </c>
      <c r="D110" s="9">
        <v>42194</v>
      </c>
      <c r="E110" s="8">
        <v>39629</v>
      </c>
      <c r="F110" s="8">
        <v>2568</v>
      </c>
      <c r="G110" s="10">
        <v>870</v>
      </c>
      <c r="H110" s="10">
        <v>676</v>
      </c>
      <c r="I110" s="8">
        <v>1026</v>
      </c>
      <c r="J110" s="179">
        <f>D110-E110</f>
        <v>2565</v>
      </c>
      <c r="K110" s="24">
        <f>(D110+F110+G110+H110+I110)-E110</f>
        <v>7705</v>
      </c>
      <c r="L110" s="189">
        <f>(D110/C110)-(E110/C110)</f>
        <v>2.9495302599956308E-2</v>
      </c>
      <c r="M110" s="117">
        <f>((D110+F110+G110+H110+I110)/C110)-(E110/C110)</f>
        <v>8.860089923300718E-2</v>
      </c>
    </row>
    <row r="111" spans="1:13" ht="18.600000000000001" customHeight="1" x14ac:dyDescent="0.4">
      <c r="A111" s="67" t="s">
        <v>13</v>
      </c>
      <c r="B111" s="7"/>
      <c r="C111" s="6">
        <v>267</v>
      </c>
      <c r="D111" s="10">
        <v>101</v>
      </c>
      <c r="E111" s="11">
        <v>122</v>
      </c>
      <c r="F111" s="10">
        <v>24</v>
      </c>
      <c r="G111" s="10">
        <v>6</v>
      </c>
      <c r="H111" s="10">
        <v>6</v>
      </c>
      <c r="I111" s="10">
        <v>8</v>
      </c>
      <c r="J111" s="181">
        <f t="shared" ref="J111:J127" si="30">D111-E111</f>
        <v>-21</v>
      </c>
      <c r="K111" s="24">
        <f t="shared" ref="K111:K127" si="31">(D111+F111+G111+H111+I111)-E111</f>
        <v>23</v>
      </c>
      <c r="L111" s="190">
        <f t="shared" ref="L111:L127" si="32">(D111/C111)-(E111/C111)</f>
        <v>-7.8651685393258453E-2</v>
      </c>
      <c r="M111" s="117">
        <f t="shared" ref="M111:M127" si="33">((D111+F111+G111+H111+I111)/C111)-(E111/C111)</f>
        <v>8.6142322097378266E-2</v>
      </c>
    </row>
    <row r="112" spans="1:13" ht="18.600000000000001" customHeight="1" x14ac:dyDescent="0.4">
      <c r="A112" s="67" t="s">
        <v>14</v>
      </c>
      <c r="B112" s="7"/>
      <c r="C112" s="5">
        <v>9861</v>
      </c>
      <c r="D112" s="9">
        <v>5707</v>
      </c>
      <c r="E112" s="8">
        <v>3458</v>
      </c>
      <c r="F112" s="10">
        <v>344</v>
      </c>
      <c r="G112" s="10">
        <v>121</v>
      </c>
      <c r="H112" s="10">
        <v>79</v>
      </c>
      <c r="I112" s="10">
        <v>152</v>
      </c>
      <c r="J112" s="179">
        <f t="shared" si="30"/>
        <v>2249</v>
      </c>
      <c r="K112" s="24">
        <f t="shared" si="31"/>
        <v>2945</v>
      </c>
      <c r="L112" s="189">
        <f t="shared" si="32"/>
        <v>0.22807017543859653</v>
      </c>
      <c r="M112" s="117">
        <f t="shared" si="33"/>
        <v>0.2986512524084779</v>
      </c>
    </row>
    <row r="113" spans="1:13" ht="18.600000000000001" customHeight="1" x14ac:dyDescent="0.4">
      <c r="A113" s="67" t="s">
        <v>22</v>
      </c>
      <c r="B113" s="7" t="s">
        <v>11</v>
      </c>
      <c r="C113" s="5">
        <v>5599</v>
      </c>
      <c r="D113" s="9">
        <v>2766</v>
      </c>
      <c r="E113" s="8">
        <v>2526</v>
      </c>
      <c r="F113" s="10">
        <v>146</v>
      </c>
      <c r="G113" s="10">
        <v>63</v>
      </c>
      <c r="H113" s="10">
        <v>44</v>
      </c>
      <c r="I113" s="10">
        <v>54</v>
      </c>
      <c r="J113" s="179">
        <f t="shared" si="30"/>
        <v>240</v>
      </c>
      <c r="K113" s="24">
        <f t="shared" si="31"/>
        <v>547</v>
      </c>
      <c r="L113" s="189">
        <f t="shared" si="32"/>
        <v>4.2864797285229517E-2</v>
      </c>
      <c r="M113" s="117">
        <f t="shared" si="33"/>
        <v>9.7696017145918912E-2</v>
      </c>
    </row>
    <row r="114" spans="1:13" ht="18.600000000000001" customHeight="1" x14ac:dyDescent="0.4">
      <c r="A114" s="67" t="s">
        <v>23</v>
      </c>
      <c r="B114" s="7" t="s">
        <v>11</v>
      </c>
      <c r="C114" s="5">
        <v>3589</v>
      </c>
      <c r="D114" s="9">
        <v>1705</v>
      </c>
      <c r="E114" s="8">
        <v>1660</v>
      </c>
      <c r="F114" s="10">
        <v>121</v>
      </c>
      <c r="G114" s="10">
        <v>32</v>
      </c>
      <c r="H114" s="10">
        <v>25</v>
      </c>
      <c r="I114" s="10">
        <v>46</v>
      </c>
      <c r="J114" s="179">
        <f t="shared" si="30"/>
        <v>45</v>
      </c>
      <c r="K114" s="24">
        <f t="shared" si="31"/>
        <v>269</v>
      </c>
      <c r="L114" s="189">
        <f t="shared" si="32"/>
        <v>1.2538311507383715E-2</v>
      </c>
      <c r="M114" s="117">
        <f t="shared" si="33"/>
        <v>7.4951239899693489E-2</v>
      </c>
    </row>
    <row r="115" spans="1:13" ht="18.600000000000001" customHeight="1" x14ac:dyDescent="0.4">
      <c r="A115" s="67" t="s">
        <v>24</v>
      </c>
      <c r="B115" s="7" t="s">
        <v>11</v>
      </c>
      <c r="C115" s="5">
        <v>2585</v>
      </c>
      <c r="D115" s="8">
        <v>1011</v>
      </c>
      <c r="E115" s="12">
        <v>1461</v>
      </c>
      <c r="F115" s="10">
        <v>55</v>
      </c>
      <c r="G115" s="10">
        <v>22</v>
      </c>
      <c r="H115" s="10">
        <v>15</v>
      </c>
      <c r="I115" s="10">
        <v>21</v>
      </c>
      <c r="J115" s="181">
        <f t="shared" si="30"/>
        <v>-450</v>
      </c>
      <c r="K115" s="26">
        <f t="shared" si="31"/>
        <v>-337</v>
      </c>
      <c r="L115" s="190">
        <f t="shared" si="32"/>
        <v>-0.17408123791102514</v>
      </c>
      <c r="M115" s="115">
        <f t="shared" si="33"/>
        <v>-0.1303675048355899</v>
      </c>
    </row>
    <row r="116" spans="1:13" ht="18.600000000000001" customHeight="1" x14ac:dyDescent="0.4">
      <c r="A116" s="67" t="s">
        <v>25</v>
      </c>
      <c r="B116" s="7" t="s">
        <v>11</v>
      </c>
      <c r="C116" s="5">
        <v>1792</v>
      </c>
      <c r="D116" s="10">
        <v>695</v>
      </c>
      <c r="E116" s="12">
        <v>1036</v>
      </c>
      <c r="F116" s="10">
        <v>32</v>
      </c>
      <c r="G116" s="10">
        <v>8</v>
      </c>
      <c r="H116" s="10">
        <v>11</v>
      </c>
      <c r="I116" s="10">
        <v>10</v>
      </c>
      <c r="J116" s="181">
        <f t="shared" si="30"/>
        <v>-341</v>
      </c>
      <c r="K116" s="26">
        <f t="shared" si="31"/>
        <v>-280</v>
      </c>
      <c r="L116" s="190">
        <f t="shared" si="32"/>
        <v>-0.19029017857142855</v>
      </c>
      <c r="M116" s="115">
        <f t="shared" si="33"/>
        <v>-0.15625</v>
      </c>
    </row>
    <row r="117" spans="1:13" ht="18.600000000000001" customHeight="1" x14ac:dyDescent="0.4">
      <c r="A117" s="67" t="s">
        <v>26</v>
      </c>
      <c r="B117" s="7" t="s">
        <v>11</v>
      </c>
      <c r="C117" s="5">
        <v>3459</v>
      </c>
      <c r="D117" s="8">
        <v>1629</v>
      </c>
      <c r="E117" s="12">
        <v>1641</v>
      </c>
      <c r="F117" s="10">
        <v>84</v>
      </c>
      <c r="G117" s="10">
        <v>53</v>
      </c>
      <c r="H117" s="10">
        <v>21</v>
      </c>
      <c r="I117" s="10">
        <v>31</v>
      </c>
      <c r="J117" s="181">
        <f t="shared" si="30"/>
        <v>-12</v>
      </c>
      <c r="K117" s="24">
        <f t="shared" si="31"/>
        <v>177</v>
      </c>
      <c r="L117" s="190">
        <f t="shared" si="32"/>
        <v>-3.4692107545533646E-3</v>
      </c>
      <c r="M117" s="117">
        <f t="shared" si="33"/>
        <v>5.1170858629661753E-2</v>
      </c>
    </row>
    <row r="118" spans="1:13" ht="18.600000000000001" customHeight="1" x14ac:dyDescent="0.4">
      <c r="A118" s="67" t="s">
        <v>27</v>
      </c>
      <c r="B118" s="7" t="s">
        <v>11</v>
      </c>
      <c r="C118" s="5">
        <v>6462</v>
      </c>
      <c r="D118" s="9">
        <v>3832</v>
      </c>
      <c r="E118" s="8">
        <v>2214</v>
      </c>
      <c r="F118" s="10">
        <v>214</v>
      </c>
      <c r="G118" s="10">
        <v>65</v>
      </c>
      <c r="H118" s="10">
        <v>64</v>
      </c>
      <c r="I118" s="10">
        <v>73</v>
      </c>
      <c r="J118" s="179">
        <f t="shared" si="30"/>
        <v>1618</v>
      </c>
      <c r="K118" s="24">
        <f t="shared" si="31"/>
        <v>2034</v>
      </c>
      <c r="L118" s="189">
        <f t="shared" si="32"/>
        <v>0.2503868771278242</v>
      </c>
      <c r="M118" s="117">
        <f t="shared" si="33"/>
        <v>0.31476323119777155</v>
      </c>
    </row>
    <row r="119" spans="1:13" ht="18.600000000000001" customHeight="1" x14ac:dyDescent="0.4">
      <c r="A119" s="67" t="s">
        <v>28</v>
      </c>
      <c r="B119" s="7" t="s">
        <v>11</v>
      </c>
      <c r="C119" s="5">
        <v>4153</v>
      </c>
      <c r="D119" s="8">
        <v>1774</v>
      </c>
      <c r="E119" s="12">
        <v>2160</v>
      </c>
      <c r="F119" s="10">
        <v>105</v>
      </c>
      <c r="G119" s="10">
        <v>45</v>
      </c>
      <c r="H119" s="10">
        <v>32</v>
      </c>
      <c r="I119" s="10">
        <v>37</v>
      </c>
      <c r="J119" s="181">
        <f t="shared" si="30"/>
        <v>-386</v>
      </c>
      <c r="K119" s="26">
        <f t="shared" si="31"/>
        <v>-167</v>
      </c>
      <c r="L119" s="190">
        <f t="shared" si="32"/>
        <v>-9.2944859137972569E-2</v>
      </c>
      <c r="M119" s="115">
        <f t="shared" si="33"/>
        <v>-4.0211895015651367E-2</v>
      </c>
    </row>
    <row r="120" spans="1:13" ht="18.600000000000001" customHeight="1" x14ac:dyDescent="0.4">
      <c r="A120" s="67" t="s">
        <v>29</v>
      </c>
      <c r="B120" s="7" t="s">
        <v>11</v>
      </c>
      <c r="C120" s="5">
        <v>2676</v>
      </c>
      <c r="D120" s="8">
        <v>1015</v>
      </c>
      <c r="E120" s="12">
        <v>1563</v>
      </c>
      <c r="F120" s="10">
        <v>49</v>
      </c>
      <c r="G120" s="10">
        <v>22</v>
      </c>
      <c r="H120" s="10">
        <v>16</v>
      </c>
      <c r="I120" s="10">
        <v>11</v>
      </c>
      <c r="J120" s="181">
        <f t="shared" si="30"/>
        <v>-548</v>
      </c>
      <c r="K120" s="26">
        <f t="shared" si="31"/>
        <v>-450</v>
      </c>
      <c r="L120" s="190">
        <f t="shared" si="32"/>
        <v>-0.20478325859491775</v>
      </c>
      <c r="M120" s="115">
        <f t="shared" si="33"/>
        <v>-0.16816143497757846</v>
      </c>
    </row>
    <row r="121" spans="1:13" ht="18.600000000000001" customHeight="1" x14ac:dyDescent="0.4">
      <c r="A121" s="67" t="s">
        <v>30</v>
      </c>
      <c r="B121" s="7" t="s">
        <v>11</v>
      </c>
      <c r="C121" s="5">
        <v>3713</v>
      </c>
      <c r="D121" s="8">
        <v>1375</v>
      </c>
      <c r="E121" s="12">
        <v>2159</v>
      </c>
      <c r="F121" s="10">
        <v>89</v>
      </c>
      <c r="G121" s="10">
        <v>11</v>
      </c>
      <c r="H121" s="10">
        <v>32</v>
      </c>
      <c r="I121" s="10">
        <v>47</v>
      </c>
      <c r="J121" s="181">
        <f t="shared" si="30"/>
        <v>-784</v>
      </c>
      <c r="K121" s="26">
        <f t="shared" si="31"/>
        <v>-605</v>
      </c>
      <c r="L121" s="190">
        <f t="shared" si="32"/>
        <v>-0.21115001346619983</v>
      </c>
      <c r="M121" s="115">
        <f t="shared" si="33"/>
        <v>-0.16294101804470773</v>
      </c>
    </row>
    <row r="122" spans="1:13" ht="18.600000000000001" customHeight="1" x14ac:dyDescent="0.4">
      <c r="A122" s="67" t="s">
        <v>31</v>
      </c>
      <c r="B122" s="7" t="s">
        <v>11</v>
      </c>
      <c r="C122" s="5">
        <v>2302</v>
      </c>
      <c r="D122" s="10">
        <v>958</v>
      </c>
      <c r="E122" s="12">
        <v>1226</v>
      </c>
      <c r="F122" s="10">
        <v>61</v>
      </c>
      <c r="G122" s="10">
        <v>22</v>
      </c>
      <c r="H122" s="10">
        <v>10</v>
      </c>
      <c r="I122" s="10">
        <v>25</v>
      </c>
      <c r="J122" s="181">
        <f t="shared" si="30"/>
        <v>-268</v>
      </c>
      <c r="K122" s="26">
        <f t="shared" si="31"/>
        <v>-150</v>
      </c>
      <c r="L122" s="190">
        <f t="shared" si="32"/>
        <v>-0.11642050390964376</v>
      </c>
      <c r="M122" s="115">
        <f t="shared" si="33"/>
        <v>-6.5160729800173733E-2</v>
      </c>
    </row>
    <row r="123" spans="1:13" ht="18.600000000000001" customHeight="1" x14ac:dyDescent="0.4">
      <c r="A123" s="67" t="s">
        <v>32</v>
      </c>
      <c r="B123" s="7" t="s">
        <v>11</v>
      </c>
      <c r="C123" s="5">
        <v>7773</v>
      </c>
      <c r="D123" s="9">
        <v>3698</v>
      </c>
      <c r="E123" s="8">
        <v>3622</v>
      </c>
      <c r="F123" s="10">
        <v>236</v>
      </c>
      <c r="G123" s="10">
        <v>71</v>
      </c>
      <c r="H123" s="10">
        <v>53</v>
      </c>
      <c r="I123" s="10">
        <v>93</v>
      </c>
      <c r="J123" s="179">
        <f t="shared" si="30"/>
        <v>76</v>
      </c>
      <c r="K123" s="24">
        <f t="shared" si="31"/>
        <v>529</v>
      </c>
      <c r="L123" s="189">
        <f t="shared" si="32"/>
        <v>9.777434709893229E-3</v>
      </c>
      <c r="M123" s="117">
        <f t="shared" si="33"/>
        <v>6.8056091599125124E-2</v>
      </c>
    </row>
    <row r="124" spans="1:13" ht="18.600000000000001" customHeight="1" x14ac:dyDescent="0.4">
      <c r="A124" s="67" t="s">
        <v>33</v>
      </c>
      <c r="B124" s="7" t="s">
        <v>11</v>
      </c>
      <c r="C124" s="5">
        <v>7528</v>
      </c>
      <c r="D124" s="8">
        <v>3468</v>
      </c>
      <c r="E124" s="12">
        <v>3642</v>
      </c>
      <c r="F124" s="10">
        <v>219</v>
      </c>
      <c r="G124" s="10">
        <v>51</v>
      </c>
      <c r="H124" s="10">
        <v>59</v>
      </c>
      <c r="I124" s="10">
        <v>89</v>
      </c>
      <c r="J124" s="181">
        <f t="shared" si="30"/>
        <v>-174</v>
      </c>
      <c r="K124" s="24">
        <f t="shared" si="31"/>
        <v>244</v>
      </c>
      <c r="L124" s="190">
        <f t="shared" si="32"/>
        <v>-2.3113708820403811E-2</v>
      </c>
      <c r="M124" s="117">
        <f t="shared" si="33"/>
        <v>3.2412327311370837E-2</v>
      </c>
    </row>
    <row r="125" spans="1:13" ht="18.600000000000001" customHeight="1" x14ac:dyDescent="0.4">
      <c r="A125" s="67" t="s">
        <v>34</v>
      </c>
      <c r="B125" s="7" t="s">
        <v>11</v>
      </c>
      <c r="C125" s="5">
        <v>3639</v>
      </c>
      <c r="D125" s="8">
        <v>1510</v>
      </c>
      <c r="E125" s="12">
        <v>1922</v>
      </c>
      <c r="F125" s="10">
        <v>111</v>
      </c>
      <c r="G125" s="10">
        <v>33</v>
      </c>
      <c r="H125" s="10">
        <v>32</v>
      </c>
      <c r="I125" s="10">
        <v>31</v>
      </c>
      <c r="J125" s="181">
        <f t="shared" si="30"/>
        <v>-412</v>
      </c>
      <c r="K125" s="26">
        <f t="shared" si="31"/>
        <v>-205</v>
      </c>
      <c r="L125" s="190">
        <f t="shared" si="32"/>
        <v>-0.1132179170101677</v>
      </c>
      <c r="M125" s="115">
        <f t="shared" si="33"/>
        <v>-5.633415773564171E-2</v>
      </c>
    </row>
    <row r="126" spans="1:13" ht="18.600000000000001" customHeight="1" x14ac:dyDescent="0.4">
      <c r="A126" s="67" t="s">
        <v>35</v>
      </c>
      <c r="B126" s="7" t="s">
        <v>11</v>
      </c>
      <c r="C126" s="5">
        <v>7411</v>
      </c>
      <c r="D126" s="9">
        <v>3587</v>
      </c>
      <c r="E126" s="8">
        <v>3379</v>
      </c>
      <c r="F126" s="10">
        <v>238</v>
      </c>
      <c r="G126" s="10">
        <v>65</v>
      </c>
      <c r="H126" s="10">
        <v>52</v>
      </c>
      <c r="I126" s="10">
        <v>90</v>
      </c>
      <c r="J126" s="179">
        <f t="shared" si="30"/>
        <v>208</v>
      </c>
      <c r="K126" s="24">
        <f t="shared" si="31"/>
        <v>653</v>
      </c>
      <c r="L126" s="189">
        <f t="shared" si="32"/>
        <v>2.806638780191606E-2</v>
      </c>
      <c r="M126" s="117">
        <f t="shared" si="33"/>
        <v>8.8112265551207658E-2</v>
      </c>
    </row>
    <row r="127" spans="1:13" ht="18.600000000000001" customHeight="1" thickBot="1" x14ac:dyDescent="0.45">
      <c r="A127" s="175" t="s">
        <v>36</v>
      </c>
      <c r="B127" s="176" t="s">
        <v>11</v>
      </c>
      <c r="C127" s="149">
        <v>14144</v>
      </c>
      <c r="D127" s="107">
        <v>7358</v>
      </c>
      <c r="E127" s="112">
        <v>5835</v>
      </c>
      <c r="F127" s="109">
        <v>438</v>
      </c>
      <c r="G127" s="109">
        <v>180</v>
      </c>
      <c r="H127" s="109">
        <v>125</v>
      </c>
      <c r="I127" s="109">
        <v>208</v>
      </c>
      <c r="J127" s="183">
        <f t="shared" si="30"/>
        <v>1523</v>
      </c>
      <c r="K127" s="122">
        <f t="shared" si="31"/>
        <v>2474</v>
      </c>
      <c r="L127" s="200">
        <f t="shared" si="32"/>
        <v>0.10767816742081454</v>
      </c>
      <c r="M127" s="135">
        <f t="shared" si="33"/>
        <v>0.17491515837104071</v>
      </c>
    </row>
    <row r="128" spans="1:13" ht="89.4" customHeight="1" thickBot="1" x14ac:dyDescent="0.45"/>
    <row r="129" spans="1:7" ht="18.600000000000001" customHeight="1" x14ac:dyDescent="0.4">
      <c r="A129" s="265" t="s">
        <v>149</v>
      </c>
      <c r="B129" s="266"/>
      <c r="C129" s="266"/>
      <c r="D129" s="266"/>
      <c r="E129" s="266"/>
      <c r="F129" s="266"/>
      <c r="G129" s="267"/>
    </row>
    <row r="130" spans="1:7" ht="18.600000000000001" customHeight="1" x14ac:dyDescent="0.4">
      <c r="A130" s="270" t="s">
        <v>0</v>
      </c>
      <c r="B130" s="271" t="s">
        <v>1</v>
      </c>
      <c r="C130" s="272" t="s">
        <v>130</v>
      </c>
      <c r="D130" s="263" t="s">
        <v>83</v>
      </c>
      <c r="E130" s="264"/>
      <c r="F130" s="268" t="s">
        <v>106</v>
      </c>
      <c r="G130" s="269" t="s">
        <v>123</v>
      </c>
    </row>
    <row r="131" spans="1:7" ht="18.600000000000001" customHeight="1" x14ac:dyDescent="0.4">
      <c r="A131" s="270"/>
      <c r="B131" s="271"/>
      <c r="C131" s="272"/>
      <c r="D131" s="3" t="s">
        <v>18</v>
      </c>
      <c r="E131" s="3" t="s">
        <v>20</v>
      </c>
      <c r="F131" s="268"/>
      <c r="G131" s="269"/>
    </row>
    <row r="132" spans="1:7" ht="18.600000000000001" customHeight="1" x14ac:dyDescent="0.4">
      <c r="A132" s="67" t="s">
        <v>12</v>
      </c>
      <c r="B132" s="7"/>
      <c r="C132" s="5">
        <v>86537</v>
      </c>
      <c r="D132" s="9">
        <v>45927</v>
      </c>
      <c r="E132" s="8">
        <v>40610</v>
      </c>
      <c r="F132" s="179">
        <f>D132-E132</f>
        <v>5317</v>
      </c>
      <c r="G132" s="186">
        <f>(D132/C132)-(E132/C132)</f>
        <v>6.1441926574759886E-2</v>
      </c>
    </row>
    <row r="133" spans="1:7" ht="18.600000000000001" customHeight="1" x14ac:dyDescent="0.4">
      <c r="A133" s="67" t="s">
        <v>13</v>
      </c>
      <c r="B133" s="7"/>
      <c r="C133" s="6">
        <v>263</v>
      </c>
      <c r="D133" s="10">
        <v>121</v>
      </c>
      <c r="E133" s="11">
        <v>142</v>
      </c>
      <c r="F133" s="181">
        <f t="shared" ref="F133:F149" si="34">D133-E133</f>
        <v>-21</v>
      </c>
      <c r="G133" s="185">
        <f t="shared" ref="G133:G149" si="35">(D133/C133)-(E133/C133)</f>
        <v>-7.9847908745247109E-2</v>
      </c>
    </row>
    <row r="134" spans="1:7" ht="18.600000000000001" customHeight="1" x14ac:dyDescent="0.4">
      <c r="A134" s="67" t="s">
        <v>14</v>
      </c>
      <c r="B134" s="7"/>
      <c r="C134" s="5">
        <v>9857</v>
      </c>
      <c r="D134" s="9">
        <v>6237</v>
      </c>
      <c r="E134" s="8">
        <v>3620</v>
      </c>
      <c r="F134" s="179">
        <f t="shared" si="34"/>
        <v>2617</v>
      </c>
      <c r="G134" s="186">
        <f t="shared" si="35"/>
        <v>0.26549660140002024</v>
      </c>
    </row>
    <row r="135" spans="1:7" ht="18.600000000000001" customHeight="1" x14ac:dyDescent="0.4">
      <c r="A135" s="67" t="s">
        <v>22</v>
      </c>
      <c r="B135" s="7" t="s">
        <v>11</v>
      </c>
      <c r="C135" s="5">
        <v>5549</v>
      </c>
      <c r="D135" s="9">
        <v>2973</v>
      </c>
      <c r="E135" s="8">
        <v>2576</v>
      </c>
      <c r="F135" s="179">
        <f t="shared" si="34"/>
        <v>397</v>
      </c>
      <c r="G135" s="186">
        <f t="shared" si="35"/>
        <v>7.1544422418453824E-2</v>
      </c>
    </row>
    <row r="136" spans="1:7" ht="18.600000000000001" customHeight="1" x14ac:dyDescent="0.4">
      <c r="A136" s="67" t="s">
        <v>23</v>
      </c>
      <c r="B136" s="7" t="s">
        <v>11</v>
      </c>
      <c r="C136" s="5">
        <v>3541</v>
      </c>
      <c r="D136" s="9">
        <v>1858</v>
      </c>
      <c r="E136" s="8">
        <v>1683</v>
      </c>
      <c r="F136" s="179">
        <f t="shared" si="34"/>
        <v>175</v>
      </c>
      <c r="G136" s="186">
        <f t="shared" si="35"/>
        <v>4.9421067495057924E-2</v>
      </c>
    </row>
    <row r="137" spans="1:7" ht="18.600000000000001" customHeight="1" x14ac:dyDescent="0.4">
      <c r="A137" s="67" t="s">
        <v>24</v>
      </c>
      <c r="B137" s="7" t="s">
        <v>11</v>
      </c>
      <c r="C137" s="5">
        <v>2559</v>
      </c>
      <c r="D137" s="8">
        <v>1079</v>
      </c>
      <c r="E137" s="12">
        <v>1480</v>
      </c>
      <c r="F137" s="181">
        <f t="shared" si="34"/>
        <v>-401</v>
      </c>
      <c r="G137" s="185">
        <f t="shared" si="35"/>
        <v>-0.15670183665494331</v>
      </c>
    </row>
    <row r="138" spans="1:7" ht="18.600000000000001" customHeight="1" x14ac:dyDescent="0.4">
      <c r="A138" s="67" t="s">
        <v>25</v>
      </c>
      <c r="B138" s="7" t="s">
        <v>11</v>
      </c>
      <c r="C138" s="5">
        <v>1768</v>
      </c>
      <c r="D138" s="10">
        <v>729</v>
      </c>
      <c r="E138" s="12">
        <v>1039</v>
      </c>
      <c r="F138" s="181">
        <f t="shared" si="34"/>
        <v>-310</v>
      </c>
      <c r="G138" s="185">
        <f t="shared" si="35"/>
        <v>-0.17533936651583715</v>
      </c>
    </row>
    <row r="139" spans="1:7" ht="18.600000000000001" customHeight="1" x14ac:dyDescent="0.4">
      <c r="A139" s="67" t="s">
        <v>26</v>
      </c>
      <c r="B139" s="7" t="s">
        <v>11</v>
      </c>
      <c r="C139" s="5">
        <v>3455</v>
      </c>
      <c r="D139" s="9">
        <v>1753</v>
      </c>
      <c r="E139" s="8">
        <v>1702</v>
      </c>
      <c r="F139" s="179">
        <f t="shared" si="34"/>
        <v>51</v>
      </c>
      <c r="G139" s="186">
        <f t="shared" si="35"/>
        <v>1.4761215629522484E-2</v>
      </c>
    </row>
    <row r="140" spans="1:7" ht="18.600000000000001" customHeight="1" x14ac:dyDescent="0.4">
      <c r="A140" s="67" t="s">
        <v>27</v>
      </c>
      <c r="B140" s="7" t="s">
        <v>11</v>
      </c>
      <c r="C140" s="5">
        <v>6423</v>
      </c>
      <c r="D140" s="9">
        <v>4155</v>
      </c>
      <c r="E140" s="8">
        <v>2268</v>
      </c>
      <c r="F140" s="179">
        <f t="shared" si="34"/>
        <v>1887</v>
      </c>
      <c r="G140" s="186">
        <f t="shared" si="35"/>
        <v>0.29378794955628207</v>
      </c>
    </row>
    <row r="141" spans="1:7" ht="18.600000000000001" customHeight="1" x14ac:dyDescent="0.4">
      <c r="A141" s="67" t="s">
        <v>28</v>
      </c>
      <c r="B141" s="7" t="s">
        <v>11</v>
      </c>
      <c r="C141" s="5">
        <v>4132</v>
      </c>
      <c r="D141" s="8">
        <v>1936</v>
      </c>
      <c r="E141" s="12">
        <v>2196</v>
      </c>
      <c r="F141" s="181">
        <f t="shared" si="34"/>
        <v>-260</v>
      </c>
      <c r="G141" s="185">
        <f t="shared" si="35"/>
        <v>-6.2923523717328178E-2</v>
      </c>
    </row>
    <row r="142" spans="1:7" ht="18.600000000000001" customHeight="1" x14ac:dyDescent="0.4">
      <c r="A142" s="67" t="s">
        <v>29</v>
      </c>
      <c r="B142" s="7" t="s">
        <v>11</v>
      </c>
      <c r="C142" s="5">
        <v>2694</v>
      </c>
      <c r="D142" s="8">
        <v>1079</v>
      </c>
      <c r="E142" s="12">
        <v>1615</v>
      </c>
      <c r="F142" s="181">
        <f t="shared" si="34"/>
        <v>-536</v>
      </c>
      <c r="G142" s="185">
        <f t="shared" si="35"/>
        <v>-0.19896065330363771</v>
      </c>
    </row>
    <row r="143" spans="1:7" ht="18.600000000000001" customHeight="1" x14ac:dyDescent="0.4">
      <c r="A143" s="67" t="s">
        <v>30</v>
      </c>
      <c r="B143" s="7" t="s">
        <v>11</v>
      </c>
      <c r="C143" s="5">
        <v>3696</v>
      </c>
      <c r="D143" s="8">
        <v>1504</v>
      </c>
      <c r="E143" s="12">
        <v>2192</v>
      </c>
      <c r="F143" s="181">
        <f t="shared" si="34"/>
        <v>-688</v>
      </c>
      <c r="G143" s="185">
        <f t="shared" si="35"/>
        <v>-0.18614718614718617</v>
      </c>
    </row>
    <row r="144" spans="1:7" ht="18.600000000000001" customHeight="1" x14ac:dyDescent="0.4">
      <c r="A144" s="67" t="s">
        <v>31</v>
      </c>
      <c r="B144" s="7" t="s">
        <v>11</v>
      </c>
      <c r="C144" s="5">
        <v>2299</v>
      </c>
      <c r="D144" s="8">
        <v>1029</v>
      </c>
      <c r="E144" s="12">
        <v>1270</v>
      </c>
      <c r="F144" s="181">
        <f t="shared" si="34"/>
        <v>-241</v>
      </c>
      <c r="G144" s="185">
        <f t="shared" si="35"/>
        <v>-0.10482818616789907</v>
      </c>
    </row>
    <row r="145" spans="1:14" ht="18.600000000000001" customHeight="1" x14ac:dyDescent="0.4">
      <c r="A145" s="67" t="s">
        <v>32</v>
      </c>
      <c r="B145" s="7" t="s">
        <v>11</v>
      </c>
      <c r="C145" s="5">
        <v>7720</v>
      </c>
      <c r="D145" s="9">
        <v>4005</v>
      </c>
      <c r="E145" s="8">
        <v>3715</v>
      </c>
      <c r="F145" s="179">
        <f t="shared" si="34"/>
        <v>290</v>
      </c>
      <c r="G145" s="186">
        <f t="shared" si="35"/>
        <v>3.7564766839378205E-2</v>
      </c>
    </row>
    <row r="146" spans="1:14" ht="18.600000000000001" customHeight="1" x14ac:dyDescent="0.4">
      <c r="A146" s="67" t="s">
        <v>33</v>
      </c>
      <c r="B146" s="7" t="s">
        <v>11</v>
      </c>
      <c r="C146" s="5">
        <v>7483</v>
      </c>
      <c r="D146" s="9">
        <v>3807</v>
      </c>
      <c r="E146" s="8">
        <v>3676</v>
      </c>
      <c r="F146" s="179">
        <f t="shared" si="34"/>
        <v>131</v>
      </c>
      <c r="G146" s="186">
        <f t="shared" si="35"/>
        <v>1.7506347721502058E-2</v>
      </c>
    </row>
    <row r="147" spans="1:14" ht="18.600000000000001" customHeight="1" x14ac:dyDescent="0.4">
      <c r="A147" s="67" t="s">
        <v>34</v>
      </c>
      <c r="B147" s="7" t="s">
        <v>11</v>
      </c>
      <c r="C147" s="5">
        <v>3605</v>
      </c>
      <c r="D147" s="8">
        <v>1670</v>
      </c>
      <c r="E147" s="12">
        <v>1935</v>
      </c>
      <c r="F147" s="181">
        <f t="shared" si="34"/>
        <v>-265</v>
      </c>
      <c r="G147" s="185">
        <f t="shared" si="35"/>
        <v>-7.3509015256588039E-2</v>
      </c>
    </row>
    <row r="148" spans="1:14" ht="18.600000000000001" customHeight="1" x14ac:dyDescent="0.4">
      <c r="A148" s="67" t="s">
        <v>35</v>
      </c>
      <c r="B148" s="7" t="s">
        <v>11</v>
      </c>
      <c r="C148" s="5">
        <v>7368</v>
      </c>
      <c r="D148" s="9">
        <v>3918</v>
      </c>
      <c r="E148" s="8">
        <v>3450</v>
      </c>
      <c r="F148" s="179">
        <f t="shared" si="34"/>
        <v>468</v>
      </c>
      <c r="G148" s="186">
        <f t="shared" si="35"/>
        <v>6.3517915309446282E-2</v>
      </c>
    </row>
    <row r="149" spans="1:14" ht="18.600000000000001" customHeight="1" thickBot="1" x14ac:dyDescent="0.45">
      <c r="A149" s="175" t="s">
        <v>36</v>
      </c>
      <c r="B149" s="176" t="s">
        <v>11</v>
      </c>
      <c r="C149" s="149">
        <v>14052</v>
      </c>
      <c r="D149" s="107">
        <v>8035</v>
      </c>
      <c r="E149" s="112">
        <v>6017</v>
      </c>
      <c r="F149" s="183">
        <f t="shared" si="34"/>
        <v>2018</v>
      </c>
      <c r="G149" s="187">
        <f t="shared" si="35"/>
        <v>0.14360945061201252</v>
      </c>
    </row>
    <row r="150" spans="1:14" ht="100.2" customHeight="1" x14ac:dyDescent="0.4"/>
    <row r="151" spans="1:14" ht="18.600000000000001" customHeight="1" thickBot="1" x14ac:dyDescent="0.45">
      <c r="A151" s="279" t="s">
        <v>162</v>
      </c>
      <c r="B151" s="279"/>
      <c r="C151" s="279"/>
      <c r="D151" s="279"/>
      <c r="E151" s="279"/>
      <c r="F151" s="279"/>
      <c r="G151" s="279"/>
      <c r="H151" s="279"/>
      <c r="I151" s="280"/>
      <c r="J151" s="280"/>
      <c r="K151" s="280"/>
      <c r="L151" s="280"/>
      <c r="M151" s="280"/>
      <c r="N151" s="280"/>
    </row>
    <row r="152" spans="1:14" s="130" customFormat="1" ht="18.600000000000001" customHeight="1" x14ac:dyDescent="0.4">
      <c r="A152" s="127" t="s">
        <v>154</v>
      </c>
      <c r="B152" s="266" t="s">
        <v>130</v>
      </c>
      <c r="C152" s="266" t="s">
        <v>158</v>
      </c>
      <c r="D152" s="266"/>
      <c r="E152" s="266"/>
      <c r="F152" s="266" t="s">
        <v>109</v>
      </c>
      <c r="G152" s="266"/>
      <c r="H152" s="267"/>
      <c r="I152" s="281" t="s">
        <v>156</v>
      </c>
      <c r="J152" s="280"/>
      <c r="K152" s="280"/>
      <c r="L152" s="280" t="s">
        <v>157</v>
      </c>
      <c r="M152" s="280"/>
      <c r="N152" s="280"/>
    </row>
    <row r="153" spans="1:14" s="130" customFormat="1" ht="24.6" customHeight="1" x14ac:dyDescent="0.4">
      <c r="A153" s="136" t="s">
        <v>152</v>
      </c>
      <c r="B153" s="280"/>
      <c r="C153" s="79" t="s">
        <v>124</v>
      </c>
      <c r="D153" s="79" t="s">
        <v>100</v>
      </c>
      <c r="E153" s="201" t="s">
        <v>87</v>
      </c>
      <c r="F153" s="79" t="s">
        <v>124</v>
      </c>
      <c r="G153" s="79" t="s">
        <v>100</v>
      </c>
      <c r="H153" s="202" t="s">
        <v>101</v>
      </c>
      <c r="I153" s="142" t="s">
        <v>153</v>
      </c>
      <c r="J153" s="79" t="s">
        <v>155</v>
      </c>
      <c r="K153" s="79" t="s">
        <v>87</v>
      </c>
      <c r="L153" s="79" t="s">
        <v>153</v>
      </c>
      <c r="M153" s="79" t="s">
        <v>155</v>
      </c>
      <c r="N153" s="79" t="s">
        <v>101</v>
      </c>
    </row>
    <row r="154" spans="1:14" s="57" customFormat="1" ht="17.399999999999999" customHeight="1" x14ac:dyDescent="0.4">
      <c r="A154" s="67" t="s">
        <v>89</v>
      </c>
      <c r="B154" s="5">
        <v>87089</v>
      </c>
      <c r="C154" s="9">
        <v>45692</v>
      </c>
      <c r="D154" s="8">
        <v>41397</v>
      </c>
      <c r="E154" s="179">
        <f t="shared" ref="E154:E159" si="36">C154-D154</f>
        <v>4295</v>
      </c>
      <c r="F154" s="18">
        <f t="shared" ref="F154:F159" si="37">C154/B154</f>
        <v>0.52465868249721548</v>
      </c>
      <c r="G154" s="52">
        <f t="shared" ref="G154:G159" si="38">D154/B154</f>
        <v>0.47534131750278452</v>
      </c>
      <c r="H154" s="186">
        <f t="shared" ref="H154:H159" si="39">F154-G154</f>
        <v>4.9317364994430957E-2</v>
      </c>
      <c r="I154" s="143"/>
      <c r="J154" s="46"/>
      <c r="K154" s="46"/>
      <c r="L154" s="44"/>
      <c r="M154" s="44"/>
      <c r="N154" s="140"/>
    </row>
    <row r="155" spans="1:14" s="57" customFormat="1" ht="17.399999999999999" customHeight="1" x14ac:dyDescent="0.4">
      <c r="A155" s="124" t="s">
        <v>92</v>
      </c>
      <c r="B155" s="5">
        <v>87578</v>
      </c>
      <c r="C155" s="8">
        <v>41108</v>
      </c>
      <c r="D155" s="12">
        <v>43949</v>
      </c>
      <c r="E155" s="181">
        <f t="shared" si="36"/>
        <v>-2841</v>
      </c>
      <c r="F155" s="125">
        <f t="shared" si="37"/>
        <v>0.469387289045194</v>
      </c>
      <c r="G155" s="126">
        <f t="shared" si="38"/>
        <v>0.50182694283952589</v>
      </c>
      <c r="H155" s="185">
        <f t="shared" si="39"/>
        <v>-3.2439653794331891E-2</v>
      </c>
      <c r="I155" s="144">
        <v>41108</v>
      </c>
      <c r="J155" s="74">
        <f>D155+2521</f>
        <v>46470</v>
      </c>
      <c r="K155" s="74">
        <f>I155-J155</f>
        <v>-5362</v>
      </c>
      <c r="L155" s="44">
        <f>I155/B155</f>
        <v>0.469387289045194</v>
      </c>
      <c r="M155" s="77">
        <f>J155/B155</f>
        <v>0.530612710954806</v>
      </c>
      <c r="N155" s="77">
        <f>L155-M155</f>
        <v>-6.1225421909611999E-2</v>
      </c>
    </row>
    <row r="156" spans="1:14" s="57" customFormat="1" ht="17.399999999999999" customHeight="1" x14ac:dyDescent="0.4">
      <c r="A156" s="124" t="s">
        <v>102</v>
      </c>
      <c r="B156" s="43">
        <f>C26+C54+C78</f>
        <v>86508</v>
      </c>
      <c r="C156" s="68">
        <f>D26+D54+D78</f>
        <v>44848</v>
      </c>
      <c r="D156" s="55">
        <f>E26+E54+E78</f>
        <v>40262</v>
      </c>
      <c r="E156" s="192">
        <f t="shared" si="36"/>
        <v>4586</v>
      </c>
      <c r="F156" s="60">
        <f t="shared" si="37"/>
        <v>0.51842604152217131</v>
      </c>
      <c r="G156" s="56">
        <f t="shared" si="38"/>
        <v>0.46541360336616266</v>
      </c>
      <c r="H156" s="186">
        <f t="shared" si="39"/>
        <v>5.3012438156008646E-2</v>
      </c>
      <c r="I156" s="145">
        <f>D26+D54+D78</f>
        <v>44848</v>
      </c>
      <c r="J156" s="43">
        <f>E26+E54+E78+F26</f>
        <v>41660</v>
      </c>
      <c r="K156" s="75">
        <f>I156-J156</f>
        <v>3188</v>
      </c>
      <c r="L156" s="61">
        <f>I156/B156</f>
        <v>0.51842604152217131</v>
      </c>
      <c r="M156" s="44">
        <f>J156/B156</f>
        <v>0.48157395847782863</v>
      </c>
      <c r="N156" s="61">
        <f>L156-M156</f>
        <v>3.6852083044342676E-2</v>
      </c>
    </row>
    <row r="157" spans="1:14" s="57" customFormat="1" ht="17.399999999999999" customHeight="1" x14ac:dyDescent="0.4">
      <c r="A157" s="124" t="s">
        <v>136</v>
      </c>
      <c r="B157" s="43">
        <f>C37+C44+C63+C70+C91+C100</f>
        <v>84852</v>
      </c>
      <c r="C157" s="68">
        <f>D37+E37+D44+E44+D63+E63+D70+E70+D91+D100+E100</f>
        <v>44244</v>
      </c>
      <c r="D157" s="55">
        <f>F37+G37+F44+G44+F63+F70+E91+F91+F100</f>
        <v>37137</v>
      </c>
      <c r="E157" s="192">
        <f t="shared" si="36"/>
        <v>7107</v>
      </c>
      <c r="F157" s="60">
        <f t="shared" si="37"/>
        <v>0.52142554094187532</v>
      </c>
      <c r="G157" s="56">
        <f t="shared" si="38"/>
        <v>0.43766793947107907</v>
      </c>
      <c r="H157" s="186">
        <f t="shared" si="39"/>
        <v>8.375760147079625E-2</v>
      </c>
      <c r="I157" s="145">
        <f>D37+E37+D44+E44+D63+E63+D70+E70+G70+D91+D100+E100</f>
        <v>45186</v>
      </c>
      <c r="J157" s="43">
        <f>F37+G37+H37+F44+G44+F63+F70+E91+F91+G91+H91+F100</f>
        <v>39666</v>
      </c>
      <c r="K157" s="75">
        <f>I157-J157</f>
        <v>5520</v>
      </c>
      <c r="L157" s="61">
        <f>I157/B157</f>
        <v>0.5325272238721539</v>
      </c>
      <c r="M157" s="44">
        <f>J157/B157</f>
        <v>0.46747277612784616</v>
      </c>
      <c r="N157" s="61">
        <f>L157-M157</f>
        <v>6.5054447744307742E-2</v>
      </c>
    </row>
    <row r="158" spans="1:14" s="57" customFormat="1" ht="17.399999999999999" customHeight="1" x14ac:dyDescent="0.4">
      <c r="A158" s="124" t="s">
        <v>148</v>
      </c>
      <c r="B158" s="5">
        <v>86963</v>
      </c>
      <c r="C158" s="9">
        <v>42194</v>
      </c>
      <c r="D158" s="8">
        <v>39629</v>
      </c>
      <c r="E158" s="179">
        <f t="shared" si="36"/>
        <v>2565</v>
      </c>
      <c r="F158" s="60">
        <f t="shared" si="37"/>
        <v>0.48519485298345272</v>
      </c>
      <c r="G158" s="56">
        <f t="shared" si="38"/>
        <v>0.45569955038349641</v>
      </c>
      <c r="H158" s="186">
        <f t="shared" si="39"/>
        <v>2.9495302599956308E-2</v>
      </c>
      <c r="I158" s="146">
        <f>D110+F110+G110+H110+I110</f>
        <v>47334</v>
      </c>
      <c r="J158" s="5">
        <v>39629</v>
      </c>
      <c r="K158" s="75">
        <f>I158-J158</f>
        <v>7705</v>
      </c>
      <c r="L158" s="61">
        <f>I158/B158</f>
        <v>0.54430044961650359</v>
      </c>
      <c r="M158" s="44">
        <f>J158/B158</f>
        <v>0.45569955038349641</v>
      </c>
      <c r="N158" s="61">
        <f>L158-M158</f>
        <v>8.860089923300718E-2</v>
      </c>
    </row>
    <row r="159" spans="1:14" s="57" customFormat="1" ht="17.399999999999999" customHeight="1" thickBot="1" x14ac:dyDescent="0.45">
      <c r="A159" s="137" t="s">
        <v>149</v>
      </c>
      <c r="B159" s="149">
        <v>86537</v>
      </c>
      <c r="C159" s="107">
        <v>45927</v>
      </c>
      <c r="D159" s="112">
        <v>40610</v>
      </c>
      <c r="E159" s="183">
        <f t="shared" si="36"/>
        <v>5317</v>
      </c>
      <c r="F159" s="139">
        <f t="shared" si="37"/>
        <v>0.53072096328737994</v>
      </c>
      <c r="G159" s="138">
        <f t="shared" si="38"/>
        <v>0.46927903671262006</v>
      </c>
      <c r="H159" s="187">
        <f t="shared" si="39"/>
        <v>6.1441926574759886E-2</v>
      </c>
      <c r="I159" s="147"/>
      <c r="J159" s="46"/>
      <c r="K159" s="46"/>
      <c r="L159" s="44"/>
      <c r="M159" s="44"/>
      <c r="N159" s="140"/>
    </row>
    <row r="160" spans="1:14" ht="18.600000000000001" customHeight="1" thickBot="1" x14ac:dyDescent="0.45">
      <c r="A160" s="298" t="s">
        <v>163</v>
      </c>
      <c r="B160" s="298"/>
      <c r="C160" s="298"/>
      <c r="D160" s="298"/>
      <c r="E160" s="298"/>
      <c r="F160" s="298"/>
      <c r="G160" s="298"/>
      <c r="H160" s="298"/>
      <c r="I160" s="280"/>
      <c r="J160" s="280"/>
      <c r="K160" s="280"/>
      <c r="L160" s="280"/>
      <c r="M160" s="280"/>
      <c r="N160" s="280"/>
    </row>
    <row r="161" spans="1:14" ht="18.600000000000001" customHeight="1" x14ac:dyDescent="0.4">
      <c r="A161" s="127" t="s">
        <v>154</v>
      </c>
      <c r="B161" s="266" t="s">
        <v>130</v>
      </c>
      <c r="C161" s="266" t="s">
        <v>158</v>
      </c>
      <c r="D161" s="266"/>
      <c r="E161" s="266"/>
      <c r="F161" s="266" t="s">
        <v>109</v>
      </c>
      <c r="G161" s="266"/>
      <c r="H161" s="267"/>
      <c r="I161" s="281" t="s">
        <v>156</v>
      </c>
      <c r="J161" s="280"/>
      <c r="K161" s="280"/>
      <c r="L161" s="280" t="s">
        <v>157</v>
      </c>
      <c r="M161" s="280"/>
      <c r="N161" s="280"/>
    </row>
    <row r="162" spans="1:14" ht="25.2" customHeight="1" x14ac:dyDescent="0.4">
      <c r="A162" s="136" t="s">
        <v>152</v>
      </c>
      <c r="B162" s="280"/>
      <c r="C162" s="79" t="s">
        <v>124</v>
      </c>
      <c r="D162" s="79" t="s">
        <v>100</v>
      </c>
      <c r="E162" s="201" t="s">
        <v>87</v>
      </c>
      <c r="F162" s="79" t="s">
        <v>124</v>
      </c>
      <c r="G162" s="79" t="s">
        <v>100</v>
      </c>
      <c r="H162" s="202" t="s">
        <v>101</v>
      </c>
      <c r="I162" s="142" t="s">
        <v>153</v>
      </c>
      <c r="J162" s="79" t="s">
        <v>155</v>
      </c>
      <c r="K162" s="79" t="s">
        <v>87</v>
      </c>
      <c r="L162" s="79" t="s">
        <v>153</v>
      </c>
      <c r="M162" s="79" t="s">
        <v>155</v>
      </c>
      <c r="N162" s="79" t="s">
        <v>101</v>
      </c>
    </row>
    <row r="163" spans="1:14" ht="16.8" customHeight="1" x14ac:dyDescent="0.4">
      <c r="A163" s="67" t="s">
        <v>89</v>
      </c>
      <c r="B163" s="5">
        <v>69714</v>
      </c>
      <c r="C163" s="8">
        <v>32258</v>
      </c>
      <c r="D163" s="12">
        <v>37456</v>
      </c>
      <c r="E163" s="181">
        <f>C163-D163</f>
        <v>-5198</v>
      </c>
      <c r="F163" s="19">
        <f>C163/B163</f>
        <v>0.46271910950454714</v>
      </c>
      <c r="G163" s="20">
        <f>D163/B163</f>
        <v>0.5372808904954528</v>
      </c>
      <c r="H163" s="185">
        <f>F163-G163</f>
        <v>-7.4561780990905657E-2</v>
      </c>
      <c r="I163" s="143"/>
      <c r="J163" s="46"/>
      <c r="K163" s="46"/>
      <c r="L163" s="44"/>
      <c r="M163" s="44"/>
      <c r="N163" s="140"/>
    </row>
    <row r="164" spans="1:14" ht="16.8" customHeight="1" x14ac:dyDescent="0.4">
      <c r="A164" s="124" t="s">
        <v>92</v>
      </c>
      <c r="B164" s="5">
        <v>70972</v>
      </c>
      <c r="C164" s="8">
        <v>30866</v>
      </c>
      <c r="D164" s="12">
        <v>40106</v>
      </c>
      <c r="E164" s="181">
        <f>C164-D164</f>
        <v>-9240</v>
      </c>
      <c r="F164" s="125">
        <f>C164/B164</f>
        <v>0.43490390576565408</v>
      </c>
      <c r="G164" s="126">
        <f>D164/B164</f>
        <v>0.56509609423434592</v>
      </c>
      <c r="H164" s="185">
        <f t="shared" ref="H164:H168" si="40">F164-G164</f>
        <v>-0.13019218846869185</v>
      </c>
      <c r="I164" s="144">
        <v>41108</v>
      </c>
      <c r="J164" s="74">
        <f>D164+2521</f>
        <v>42627</v>
      </c>
      <c r="K164" s="74">
        <f>I164-J164</f>
        <v>-1519</v>
      </c>
      <c r="L164" s="44">
        <f>I164/B164</f>
        <v>0.57921433804880795</v>
      </c>
      <c r="M164" s="77">
        <f>J164/B164</f>
        <v>0.60061714478949446</v>
      </c>
      <c r="N164" s="77">
        <f>L164-M164</f>
        <v>-2.1402806740686509E-2</v>
      </c>
    </row>
    <row r="165" spans="1:14" ht="16.8" customHeight="1" x14ac:dyDescent="0.4">
      <c r="A165" s="124" t="s">
        <v>102</v>
      </c>
      <c r="B165" s="43">
        <f>16225+24318+29522</f>
        <v>70065</v>
      </c>
      <c r="C165" s="55">
        <f>7662+12101+13026</f>
        <v>32789</v>
      </c>
      <c r="D165" s="163">
        <f>8563+12217+16496</f>
        <v>37276</v>
      </c>
      <c r="E165" s="195">
        <f t="shared" ref="E165:E168" si="41">C165-D165</f>
        <v>-4487</v>
      </c>
      <c r="F165" s="56">
        <f t="shared" ref="F165:F168" si="42">C165/B165</f>
        <v>0.46797973310497393</v>
      </c>
      <c r="G165" s="63">
        <f t="shared" ref="G165:G168" si="43">D165/B165</f>
        <v>0.53202026689502602</v>
      </c>
      <c r="H165" s="185">
        <f t="shared" si="40"/>
        <v>-6.404053379005209E-2</v>
      </c>
      <c r="I165" s="145"/>
      <c r="J165" s="43"/>
      <c r="K165" s="75"/>
      <c r="L165" s="61"/>
      <c r="M165" s="44"/>
      <c r="N165" s="61"/>
    </row>
    <row r="166" spans="1:14" ht="16.8" customHeight="1" x14ac:dyDescent="0.4">
      <c r="A166" s="124" t="s">
        <v>136</v>
      </c>
      <c r="B166" s="43">
        <f>8426+7590+12225+12075+16539</f>
        <v>56855</v>
      </c>
      <c r="C166" s="55">
        <v>21341</v>
      </c>
      <c r="D166" s="163">
        <v>32227</v>
      </c>
      <c r="E166" s="195">
        <f t="shared" si="41"/>
        <v>-10886</v>
      </c>
      <c r="F166" s="56">
        <f t="shared" si="42"/>
        <v>0.37535836777768006</v>
      </c>
      <c r="G166" s="63">
        <f t="shared" si="43"/>
        <v>0.56682789552370061</v>
      </c>
      <c r="H166" s="185">
        <f t="shared" si="40"/>
        <v>-0.19146952774602055</v>
      </c>
      <c r="I166" s="158">
        <v>22317</v>
      </c>
      <c r="J166" s="74">
        <v>34538</v>
      </c>
      <c r="K166" s="74">
        <f>I166-J166</f>
        <v>-12221</v>
      </c>
      <c r="L166" s="44">
        <f>I166/B166</f>
        <v>0.39252484390115205</v>
      </c>
      <c r="M166" s="77">
        <f>J166/B166</f>
        <v>0.60747515609884795</v>
      </c>
      <c r="N166" s="77">
        <f>L166-M166</f>
        <v>-0.21495031219769589</v>
      </c>
    </row>
    <row r="167" spans="1:14" ht="16.8" customHeight="1" x14ac:dyDescent="0.4">
      <c r="A167" s="124" t="s">
        <v>148</v>
      </c>
      <c r="B167" s="141">
        <v>70650</v>
      </c>
      <c r="C167" s="8">
        <v>27817</v>
      </c>
      <c r="D167" s="12">
        <v>39426</v>
      </c>
      <c r="E167" s="195">
        <f t="shared" si="41"/>
        <v>-11609</v>
      </c>
      <c r="F167" s="56">
        <f t="shared" si="42"/>
        <v>0.39372965322009906</v>
      </c>
      <c r="G167" s="63">
        <f t="shared" si="43"/>
        <v>0.55804670912951171</v>
      </c>
      <c r="H167" s="185">
        <f t="shared" si="40"/>
        <v>-0.16431705590941265</v>
      </c>
      <c r="I167" s="159">
        <v>31224</v>
      </c>
      <c r="J167" s="26">
        <v>39426</v>
      </c>
      <c r="K167" s="74">
        <f>I167-J167</f>
        <v>-8202</v>
      </c>
      <c r="L167" s="44">
        <f>I167/B167</f>
        <v>0.44195329087048835</v>
      </c>
      <c r="M167" s="77">
        <f>J167/B167</f>
        <v>0.55804670912951171</v>
      </c>
      <c r="N167" s="77">
        <f>L167-M167</f>
        <v>-0.11609341825902336</v>
      </c>
    </row>
    <row r="168" spans="1:14" ht="16.8" customHeight="1" thickBot="1" x14ac:dyDescent="0.45">
      <c r="A168" s="137" t="s">
        <v>149</v>
      </c>
      <c r="B168" s="148">
        <v>69930</v>
      </c>
      <c r="C168" s="160">
        <v>29736</v>
      </c>
      <c r="D168" s="164">
        <v>40194</v>
      </c>
      <c r="E168" s="203">
        <f t="shared" si="41"/>
        <v>-10458</v>
      </c>
      <c r="F168" s="138">
        <f t="shared" si="42"/>
        <v>0.42522522522522521</v>
      </c>
      <c r="G168" s="165">
        <f t="shared" si="43"/>
        <v>0.57477477477477479</v>
      </c>
      <c r="H168" s="196">
        <f t="shared" si="40"/>
        <v>-0.14954954954954958</v>
      </c>
      <c r="I168" s="147"/>
      <c r="J168" s="46"/>
      <c r="K168" s="46"/>
      <c r="L168" s="44"/>
      <c r="M168" s="44"/>
      <c r="N168" s="140"/>
    </row>
    <row r="169" spans="1:14" ht="18.600000000000001" customHeight="1" thickBot="1" x14ac:dyDescent="0.45">
      <c r="A169" s="298" t="s">
        <v>164</v>
      </c>
      <c r="B169" s="298"/>
      <c r="C169" s="298"/>
      <c r="D169" s="298"/>
      <c r="E169" s="298"/>
      <c r="F169" s="298"/>
      <c r="G169" s="298"/>
      <c r="H169" s="298"/>
      <c r="I169" s="280"/>
      <c r="J169" s="280"/>
      <c r="K169" s="280"/>
      <c r="L169" s="280"/>
      <c r="M169" s="280"/>
      <c r="N169" s="280"/>
    </row>
    <row r="170" spans="1:14" ht="18.600000000000001" customHeight="1" x14ac:dyDescent="0.4">
      <c r="A170" s="127" t="s">
        <v>154</v>
      </c>
      <c r="B170" s="266" t="s">
        <v>130</v>
      </c>
      <c r="C170" s="266" t="s">
        <v>158</v>
      </c>
      <c r="D170" s="266"/>
      <c r="E170" s="266"/>
      <c r="F170" s="266" t="s">
        <v>109</v>
      </c>
      <c r="G170" s="266"/>
      <c r="H170" s="267"/>
      <c r="I170" s="281" t="s">
        <v>156</v>
      </c>
      <c r="J170" s="280"/>
      <c r="K170" s="280"/>
      <c r="L170" s="280" t="s">
        <v>157</v>
      </c>
      <c r="M170" s="280"/>
      <c r="N170" s="280"/>
    </row>
    <row r="171" spans="1:14" ht="25.8" customHeight="1" x14ac:dyDescent="0.4">
      <c r="A171" s="136" t="s">
        <v>152</v>
      </c>
      <c r="B171" s="280"/>
      <c r="C171" s="79" t="s">
        <v>124</v>
      </c>
      <c r="D171" s="79" t="s">
        <v>159</v>
      </c>
      <c r="E171" s="201" t="s">
        <v>87</v>
      </c>
      <c r="F171" s="79" t="s">
        <v>124</v>
      </c>
      <c r="G171" s="79" t="s">
        <v>100</v>
      </c>
      <c r="H171" s="202" t="s">
        <v>101</v>
      </c>
      <c r="I171" s="142" t="s">
        <v>153</v>
      </c>
      <c r="J171" s="79" t="s">
        <v>160</v>
      </c>
      <c r="K171" s="79" t="s">
        <v>87</v>
      </c>
      <c r="L171" s="79" t="s">
        <v>153</v>
      </c>
      <c r="M171" s="79" t="s">
        <v>155</v>
      </c>
      <c r="N171" s="79" t="s">
        <v>101</v>
      </c>
    </row>
    <row r="172" spans="1:14" ht="16.8" customHeight="1" x14ac:dyDescent="0.4">
      <c r="A172" s="67" t="s">
        <v>89</v>
      </c>
      <c r="B172" s="141">
        <v>79879</v>
      </c>
      <c r="C172" s="166">
        <v>49800</v>
      </c>
      <c r="D172" s="8">
        <v>28417</v>
      </c>
      <c r="E172" s="179">
        <f>C172-D172</f>
        <v>21383</v>
      </c>
      <c r="F172" s="18">
        <f>C172/B172</f>
        <v>0.62344295747317813</v>
      </c>
      <c r="G172" s="52">
        <f>D172/B172</f>
        <v>0.3557505727412712</v>
      </c>
      <c r="H172" s="186">
        <f>F172-G172</f>
        <v>0.26769238473190693</v>
      </c>
      <c r="I172" s="169">
        <v>49800</v>
      </c>
      <c r="J172" s="151">
        <v>30079</v>
      </c>
      <c r="K172" s="170">
        <f>I172-J172</f>
        <v>19721</v>
      </c>
      <c r="L172" s="61">
        <f>I172/B172</f>
        <v>0.62344295747317813</v>
      </c>
      <c r="M172" s="44">
        <f>J172/B172</f>
        <v>0.37655704252682182</v>
      </c>
      <c r="N172" s="61">
        <f>L172-M172</f>
        <v>0.24688591494635631</v>
      </c>
    </row>
    <row r="173" spans="1:14" ht="16.8" customHeight="1" x14ac:dyDescent="0.4">
      <c r="A173" s="124" t="s">
        <v>92</v>
      </c>
      <c r="B173" s="141">
        <v>80480</v>
      </c>
      <c r="C173" s="166">
        <v>42023</v>
      </c>
      <c r="D173" s="161">
        <v>28600</v>
      </c>
      <c r="E173" s="179">
        <f>C173-D173</f>
        <v>13423</v>
      </c>
      <c r="F173" s="168">
        <f>C173/B173</f>
        <v>0.52215457256461228</v>
      </c>
      <c r="G173" s="125">
        <f>D173/B173</f>
        <v>0.35536779324055667</v>
      </c>
      <c r="H173" s="186">
        <f>F173-G173</f>
        <v>0.16678677932405561</v>
      </c>
      <c r="I173" s="154">
        <v>44119</v>
      </c>
      <c r="J173" s="151">
        <v>36361</v>
      </c>
      <c r="K173" s="170">
        <f t="shared" ref="K173:K177" si="44">I173-J173</f>
        <v>7758</v>
      </c>
      <c r="L173" s="61">
        <f t="shared" ref="L173:L177" si="45">I173/B173</f>
        <v>0.54819831013916498</v>
      </c>
      <c r="M173" s="44">
        <f t="shared" ref="M173:M177" si="46">J173/B173</f>
        <v>0.45180168986083497</v>
      </c>
      <c r="N173" s="61">
        <f t="shared" ref="N173:N177" si="47">L173-M173</f>
        <v>9.6396620278330014E-2</v>
      </c>
    </row>
    <row r="174" spans="1:14" ht="16.8" customHeight="1" x14ac:dyDescent="0.4">
      <c r="A174" s="124" t="s">
        <v>102</v>
      </c>
      <c r="B174" s="43">
        <v>79487</v>
      </c>
      <c r="C174" s="68">
        <v>47265</v>
      </c>
      <c r="D174" s="55">
        <v>27702</v>
      </c>
      <c r="E174" s="192">
        <f>C174-D174</f>
        <v>19563</v>
      </c>
      <c r="F174" s="60">
        <f t="shared" ref="F174:F177" si="48">C174/B174</f>
        <v>0.59462553625121084</v>
      </c>
      <c r="G174" s="56">
        <f t="shared" ref="G174:G177" si="49">D174/B174</f>
        <v>0.34850981921572083</v>
      </c>
      <c r="H174" s="186">
        <f t="shared" ref="H174:H177" si="50">F174-G174</f>
        <v>0.24611571703549001</v>
      </c>
      <c r="I174" s="153">
        <v>47265</v>
      </c>
      <c r="J174" s="151">
        <v>32222</v>
      </c>
      <c r="K174" s="170">
        <f t="shared" si="44"/>
        <v>15043</v>
      </c>
      <c r="L174" s="61">
        <f t="shared" si="45"/>
        <v>0.59462553625121084</v>
      </c>
      <c r="M174" s="44">
        <f t="shared" si="46"/>
        <v>0.4053744637487891</v>
      </c>
      <c r="N174" s="61">
        <f t="shared" si="47"/>
        <v>0.18925107250242174</v>
      </c>
    </row>
    <row r="175" spans="1:14" ht="16.8" customHeight="1" x14ac:dyDescent="0.4">
      <c r="A175" s="124" t="s">
        <v>136</v>
      </c>
      <c r="B175" s="43">
        <v>78953</v>
      </c>
      <c r="C175" s="68">
        <v>38048</v>
      </c>
      <c r="D175" s="55">
        <v>26406</v>
      </c>
      <c r="E175" s="192">
        <f t="shared" ref="E175" si="51">C175-D175</f>
        <v>11642</v>
      </c>
      <c r="F175" s="60">
        <f t="shared" si="48"/>
        <v>0.48190695730371236</v>
      </c>
      <c r="G175" s="56">
        <f t="shared" si="49"/>
        <v>0.33445214241384114</v>
      </c>
      <c r="H175" s="186">
        <f t="shared" si="50"/>
        <v>0.14745481488987122</v>
      </c>
      <c r="I175" s="153">
        <v>42766</v>
      </c>
      <c r="J175" s="151">
        <v>36187</v>
      </c>
      <c r="K175" s="170">
        <f t="shared" si="44"/>
        <v>6579</v>
      </c>
      <c r="L175" s="61">
        <f t="shared" si="45"/>
        <v>0.5416640279660051</v>
      </c>
      <c r="M175" s="44">
        <f t="shared" si="46"/>
        <v>0.4583359720339949</v>
      </c>
      <c r="N175" s="61">
        <f t="shared" si="47"/>
        <v>8.3328055932010203E-2</v>
      </c>
    </row>
    <row r="176" spans="1:14" ht="16.8" customHeight="1" x14ac:dyDescent="0.4">
      <c r="A176" s="124" t="s">
        <v>148</v>
      </c>
      <c r="B176" s="141">
        <v>79726</v>
      </c>
      <c r="C176" s="166">
        <v>42044</v>
      </c>
      <c r="D176" s="8">
        <v>24274</v>
      </c>
      <c r="E176" s="179">
        <f>C176-D176</f>
        <v>17770</v>
      </c>
      <c r="F176" s="60">
        <f t="shared" si="48"/>
        <v>0.52735619496776465</v>
      </c>
      <c r="G176" s="56">
        <f t="shared" si="49"/>
        <v>0.30446780222261244</v>
      </c>
      <c r="H176" s="186">
        <f t="shared" si="50"/>
        <v>0.22288839274515221</v>
      </c>
      <c r="I176" s="154">
        <v>50497</v>
      </c>
      <c r="J176" s="155">
        <v>29229</v>
      </c>
      <c r="K176" s="170">
        <f t="shared" si="44"/>
        <v>21268</v>
      </c>
      <c r="L176" s="61">
        <f t="shared" si="45"/>
        <v>0.63338183277726212</v>
      </c>
      <c r="M176" s="44">
        <f t="shared" si="46"/>
        <v>0.36661816722273788</v>
      </c>
      <c r="N176" s="61">
        <f t="shared" si="47"/>
        <v>0.26676366555452424</v>
      </c>
    </row>
    <row r="177" spans="1:14" ht="16.8" customHeight="1" thickBot="1" x14ac:dyDescent="0.45">
      <c r="A177" s="137" t="s">
        <v>149</v>
      </c>
      <c r="B177" s="148">
        <v>78793</v>
      </c>
      <c r="C177" s="167">
        <v>49040</v>
      </c>
      <c r="D177" s="160">
        <v>26675</v>
      </c>
      <c r="E177" s="183">
        <f t="shared" ref="E177" si="52">C177-D177</f>
        <v>22365</v>
      </c>
      <c r="F177" s="139">
        <f t="shared" si="48"/>
        <v>0.62239031386036836</v>
      </c>
      <c r="G177" s="138">
        <f t="shared" si="49"/>
        <v>0.33854530224766161</v>
      </c>
      <c r="H177" s="187">
        <f t="shared" si="50"/>
        <v>0.28384501161270675</v>
      </c>
      <c r="I177" s="153">
        <v>52118</v>
      </c>
      <c r="J177" s="157">
        <v>26675</v>
      </c>
      <c r="K177" s="170">
        <f t="shared" si="44"/>
        <v>25443</v>
      </c>
      <c r="L177" s="61">
        <f t="shared" si="45"/>
        <v>0.66145469775233845</v>
      </c>
      <c r="M177" s="44">
        <f t="shared" si="46"/>
        <v>0.33854530224766161</v>
      </c>
      <c r="N177" s="61">
        <f t="shared" si="47"/>
        <v>0.32290939550467684</v>
      </c>
    </row>
    <row r="179" spans="1:14" ht="18.600000000000001" customHeight="1" thickBot="1" x14ac:dyDescent="0.45">
      <c r="A179" s="279" t="s">
        <v>161</v>
      </c>
      <c r="B179" s="279"/>
      <c r="C179" s="279"/>
      <c r="D179" s="279"/>
      <c r="E179" s="279"/>
      <c r="F179" s="279"/>
      <c r="G179" s="279"/>
      <c r="H179" s="279"/>
      <c r="I179" s="280"/>
      <c r="J179" s="280"/>
      <c r="K179" s="280"/>
      <c r="L179" s="280"/>
      <c r="M179" s="280"/>
      <c r="N179" s="280"/>
    </row>
    <row r="180" spans="1:14" ht="18.600000000000001" customHeight="1" x14ac:dyDescent="0.4">
      <c r="A180" s="127" t="s">
        <v>154</v>
      </c>
      <c r="B180" s="266" t="s">
        <v>130</v>
      </c>
      <c r="C180" s="266" t="s">
        <v>158</v>
      </c>
      <c r="D180" s="266"/>
      <c r="E180" s="266"/>
      <c r="F180" s="266" t="s">
        <v>109</v>
      </c>
      <c r="G180" s="266"/>
      <c r="H180" s="267"/>
      <c r="I180" s="281" t="s">
        <v>156</v>
      </c>
      <c r="J180" s="280"/>
      <c r="K180" s="280"/>
      <c r="L180" s="280" t="s">
        <v>157</v>
      </c>
      <c r="M180" s="280"/>
      <c r="N180" s="280"/>
    </row>
    <row r="181" spans="1:14" ht="25.8" customHeight="1" x14ac:dyDescent="0.4">
      <c r="A181" s="136" t="s">
        <v>152</v>
      </c>
      <c r="B181" s="280"/>
      <c r="C181" s="79" t="s">
        <v>124</v>
      </c>
      <c r="D181" s="79" t="s">
        <v>100</v>
      </c>
      <c r="E181" s="201" t="s">
        <v>87</v>
      </c>
      <c r="F181" s="79" t="s">
        <v>124</v>
      </c>
      <c r="G181" s="79" t="s">
        <v>100</v>
      </c>
      <c r="H181" s="202" t="s">
        <v>101</v>
      </c>
      <c r="I181" s="142" t="s">
        <v>153</v>
      </c>
      <c r="J181" s="79" t="s">
        <v>155</v>
      </c>
      <c r="K181" s="79" t="s">
        <v>87</v>
      </c>
      <c r="L181" s="79" t="s">
        <v>153</v>
      </c>
      <c r="M181" s="79" t="s">
        <v>155</v>
      </c>
      <c r="N181" s="79" t="s">
        <v>101</v>
      </c>
    </row>
    <row r="182" spans="1:14" ht="25.8" customHeight="1" x14ac:dyDescent="0.4">
      <c r="A182" s="124" t="s">
        <v>165</v>
      </c>
      <c r="B182" s="70">
        <v>110863</v>
      </c>
      <c r="C182" s="166">
        <v>53345</v>
      </c>
      <c r="D182" s="162">
        <v>47476</v>
      </c>
      <c r="E182" s="179">
        <f>C182-D182</f>
        <v>5869</v>
      </c>
      <c r="F182" s="18">
        <f>C182/B182</f>
        <v>0.48117947376491704</v>
      </c>
      <c r="G182" s="52">
        <f>D182/B182</f>
        <v>0.42824026050170028</v>
      </c>
      <c r="H182" s="186">
        <f>F182-G182</f>
        <v>5.2939213263216767E-2</v>
      </c>
      <c r="I182" s="156">
        <v>54391</v>
      </c>
      <c r="J182" s="152">
        <v>56472</v>
      </c>
      <c r="K182" s="174">
        <f>I182-J182</f>
        <v>-2081</v>
      </c>
      <c r="L182" s="44">
        <f>I182/B182</f>
        <v>0.49061454227289536</v>
      </c>
      <c r="M182" s="77">
        <f>J182/B182</f>
        <v>0.50938545772710464</v>
      </c>
      <c r="N182" s="77">
        <f>L182-M182</f>
        <v>-1.877091545420928E-2</v>
      </c>
    </row>
    <row r="183" spans="1:14" ht="25.8" customHeight="1" x14ac:dyDescent="0.4">
      <c r="A183" s="124" t="s">
        <v>166</v>
      </c>
      <c r="B183" s="5">
        <v>97871</v>
      </c>
      <c r="C183" s="166">
        <v>49351</v>
      </c>
      <c r="D183" s="161">
        <v>48520</v>
      </c>
      <c r="E183" s="179">
        <f t="shared" ref="E183:E187" si="53">C183-D183</f>
        <v>831</v>
      </c>
      <c r="F183" s="18">
        <f t="shared" ref="F183:F187" si="54">C183/B183</f>
        <v>0.50424538423026233</v>
      </c>
      <c r="G183" s="52">
        <f t="shared" ref="G183:G187" si="55">D183/B183</f>
        <v>0.49575461576973773</v>
      </c>
      <c r="H183" s="186">
        <f t="shared" ref="H183:H187" si="56">F183-G183</f>
        <v>8.4907684605246003E-3</v>
      </c>
      <c r="I183" s="156"/>
      <c r="J183" s="151"/>
      <c r="K183" s="170"/>
      <c r="L183" s="44"/>
      <c r="M183" s="44"/>
      <c r="N183" s="61"/>
    </row>
    <row r="184" spans="1:14" ht="25.8" customHeight="1" x14ac:dyDescent="0.4">
      <c r="A184" s="124" t="s">
        <v>167</v>
      </c>
      <c r="B184" s="141">
        <v>107920</v>
      </c>
      <c r="C184" s="161">
        <v>48642</v>
      </c>
      <c r="D184" s="173">
        <v>54892</v>
      </c>
      <c r="E184" s="181">
        <f t="shared" si="53"/>
        <v>-6250</v>
      </c>
      <c r="F184" s="18">
        <f t="shared" si="54"/>
        <v>0.45072275759822089</v>
      </c>
      <c r="G184" s="20">
        <f t="shared" si="55"/>
        <v>0.50863602668643437</v>
      </c>
      <c r="H184" s="185">
        <f t="shared" si="56"/>
        <v>-5.7913269088213482E-2</v>
      </c>
      <c r="I184" s="156">
        <v>51523</v>
      </c>
      <c r="J184" s="152">
        <v>56397</v>
      </c>
      <c r="K184" s="174">
        <f t="shared" ref="K184:K187" si="57">I184-J184</f>
        <v>-4874</v>
      </c>
      <c r="L184" s="44">
        <f t="shared" ref="L184:L187" si="58">I184/B184</f>
        <v>0.4774184581171238</v>
      </c>
      <c r="M184" s="77">
        <f t="shared" ref="M184:M187" si="59">J184/B184</f>
        <v>0.5225815418828762</v>
      </c>
      <c r="N184" s="77">
        <f t="shared" ref="N184:N187" si="60">L184-M184</f>
        <v>-4.5163083765752399E-2</v>
      </c>
    </row>
    <row r="185" spans="1:14" ht="25.8" customHeight="1" x14ac:dyDescent="0.4">
      <c r="A185" s="124" t="s">
        <v>168</v>
      </c>
      <c r="B185" s="141">
        <v>90723</v>
      </c>
      <c r="C185" s="161">
        <v>41193</v>
      </c>
      <c r="D185" s="12">
        <v>46471</v>
      </c>
      <c r="E185" s="181">
        <f t="shared" si="53"/>
        <v>-5278</v>
      </c>
      <c r="F185" s="18">
        <f t="shared" si="54"/>
        <v>0.45405244535564299</v>
      </c>
      <c r="G185" s="20">
        <f t="shared" si="55"/>
        <v>0.51222953385580283</v>
      </c>
      <c r="H185" s="185">
        <f t="shared" si="56"/>
        <v>-5.8177088500159846E-2</v>
      </c>
      <c r="I185" s="156">
        <v>43496</v>
      </c>
      <c r="J185" s="152">
        <v>47227</v>
      </c>
      <c r="K185" s="174">
        <f t="shared" si="57"/>
        <v>-3731</v>
      </c>
      <c r="L185" s="44">
        <f t="shared" si="58"/>
        <v>0.47943740837494353</v>
      </c>
      <c r="M185" s="77">
        <f t="shared" si="59"/>
        <v>0.52056259162505647</v>
      </c>
      <c r="N185" s="77">
        <f t="shared" si="60"/>
        <v>-4.112518325011294E-2</v>
      </c>
    </row>
    <row r="186" spans="1:14" ht="25.8" customHeight="1" x14ac:dyDescent="0.4">
      <c r="A186" s="124" t="s">
        <v>169</v>
      </c>
      <c r="B186" s="141">
        <v>98375</v>
      </c>
      <c r="C186" s="166">
        <v>37376</v>
      </c>
      <c r="D186" s="161">
        <v>24572</v>
      </c>
      <c r="E186" s="179">
        <f t="shared" si="53"/>
        <v>12804</v>
      </c>
      <c r="F186" s="18">
        <f t="shared" si="54"/>
        <v>0.37993392630241424</v>
      </c>
      <c r="G186" s="52">
        <f t="shared" si="55"/>
        <v>0.24977890724269378</v>
      </c>
      <c r="H186" s="186">
        <f t="shared" si="56"/>
        <v>0.13015501905972046</v>
      </c>
      <c r="I186" s="156">
        <v>44392</v>
      </c>
      <c r="J186" s="152">
        <v>53983</v>
      </c>
      <c r="K186" s="174">
        <f t="shared" si="57"/>
        <v>-9591</v>
      </c>
      <c r="L186" s="44">
        <f t="shared" si="58"/>
        <v>0.4512528589580686</v>
      </c>
      <c r="M186" s="77">
        <f t="shared" si="59"/>
        <v>0.54874714104193134</v>
      </c>
      <c r="N186" s="77">
        <f t="shared" si="60"/>
        <v>-9.7494282083862738E-2</v>
      </c>
    </row>
    <row r="187" spans="1:14" ht="25.8" customHeight="1" thickBot="1" x14ac:dyDescent="0.45">
      <c r="A187" s="137" t="s">
        <v>170</v>
      </c>
      <c r="B187" s="148">
        <v>73769</v>
      </c>
      <c r="C187" s="167">
        <v>30765</v>
      </c>
      <c r="D187" s="160">
        <v>29339</v>
      </c>
      <c r="E187" s="183">
        <f t="shared" si="53"/>
        <v>1426</v>
      </c>
      <c r="F187" s="171">
        <f t="shared" si="54"/>
        <v>0.41704510024536051</v>
      </c>
      <c r="G187" s="172">
        <f t="shared" si="55"/>
        <v>0.39771448711518387</v>
      </c>
      <c r="H187" s="187">
        <f t="shared" si="56"/>
        <v>1.9330613130176644E-2</v>
      </c>
      <c r="I187" s="150">
        <v>30765</v>
      </c>
      <c r="J187" s="152">
        <v>43004</v>
      </c>
      <c r="K187" s="174">
        <f t="shared" si="57"/>
        <v>-12239</v>
      </c>
      <c r="L187" s="44">
        <f t="shared" si="58"/>
        <v>0.41704510024536051</v>
      </c>
      <c r="M187" s="77">
        <f t="shared" si="59"/>
        <v>0.58295489975463943</v>
      </c>
      <c r="N187" s="77">
        <f t="shared" si="60"/>
        <v>-0.16590979950927892</v>
      </c>
    </row>
  </sheetData>
  <mergeCells count="112">
    <mergeCell ref="A179:N179"/>
    <mergeCell ref="B180:B181"/>
    <mergeCell ref="C180:E180"/>
    <mergeCell ref="F180:H180"/>
    <mergeCell ref="I180:K180"/>
    <mergeCell ref="L180:N180"/>
    <mergeCell ref="A169:N169"/>
    <mergeCell ref="B170:B171"/>
    <mergeCell ref="C170:E170"/>
    <mergeCell ref="F170:H170"/>
    <mergeCell ref="I170:K170"/>
    <mergeCell ref="L170:N170"/>
    <mergeCell ref="K35:K36"/>
    <mergeCell ref="L35:L36"/>
    <mergeCell ref="C35:C36"/>
    <mergeCell ref="A42:A43"/>
    <mergeCell ref="B42:B43"/>
    <mergeCell ref="A34:L34"/>
    <mergeCell ref="A160:N160"/>
    <mergeCell ref="B161:B162"/>
    <mergeCell ref="C161:E161"/>
    <mergeCell ref="F161:H161"/>
    <mergeCell ref="I161:K161"/>
    <mergeCell ref="L161:N161"/>
    <mergeCell ref="A52:A53"/>
    <mergeCell ref="B52:B53"/>
    <mergeCell ref="C52:C53"/>
    <mergeCell ref="G61:G62"/>
    <mergeCell ref="H68:H69"/>
    <mergeCell ref="C61:C62"/>
    <mergeCell ref="F52:F53"/>
    <mergeCell ref="G52:G53"/>
    <mergeCell ref="H61:H62"/>
    <mergeCell ref="I68:I69"/>
    <mergeCell ref="J68:J69"/>
    <mergeCell ref="K68:K69"/>
    <mergeCell ref="I24:I25"/>
    <mergeCell ref="J24:J25"/>
    <mergeCell ref="F2:F3"/>
    <mergeCell ref="G24:G25"/>
    <mergeCell ref="H24:H25"/>
    <mergeCell ref="A23:J23"/>
    <mergeCell ref="H42:H43"/>
    <mergeCell ref="C42:C43"/>
    <mergeCell ref="I42:I43"/>
    <mergeCell ref="A35:A36"/>
    <mergeCell ref="B35:B36"/>
    <mergeCell ref="I35:I36"/>
    <mergeCell ref="J35:J36"/>
    <mergeCell ref="N2:N3"/>
    <mergeCell ref="A1:B1"/>
    <mergeCell ref="M2:M3"/>
    <mergeCell ref="C1:G1"/>
    <mergeCell ref="H1:N1"/>
    <mergeCell ref="L2:L3"/>
    <mergeCell ref="A2:A3"/>
    <mergeCell ref="B2:B3"/>
    <mergeCell ref="G2:G3"/>
    <mergeCell ref="C2:C3"/>
    <mergeCell ref="H2:H3"/>
    <mergeCell ref="B68:B69"/>
    <mergeCell ref="C76:C77"/>
    <mergeCell ref="C68:C69"/>
    <mergeCell ref="A61:A62"/>
    <mergeCell ref="B61:B62"/>
    <mergeCell ref="A24:A25"/>
    <mergeCell ref="B24:B25"/>
    <mergeCell ref="C24:C25"/>
    <mergeCell ref="A76:A77"/>
    <mergeCell ref="B76:B77"/>
    <mergeCell ref="A51:G51"/>
    <mergeCell ref="A60:H60"/>
    <mergeCell ref="A75:G75"/>
    <mergeCell ref="F76:F77"/>
    <mergeCell ref="A151:N151"/>
    <mergeCell ref="B152:B153"/>
    <mergeCell ref="C152:E152"/>
    <mergeCell ref="F152:H152"/>
    <mergeCell ref="I152:K152"/>
    <mergeCell ref="L152:N152"/>
    <mergeCell ref="A108:A109"/>
    <mergeCell ref="B108:B109"/>
    <mergeCell ref="C108:C109"/>
    <mergeCell ref="D108:I108"/>
    <mergeCell ref="J108:J109"/>
    <mergeCell ref="K108:K109"/>
    <mergeCell ref="L108:L109"/>
    <mergeCell ref="M108:M109"/>
    <mergeCell ref="O2:O3"/>
    <mergeCell ref="D130:E130"/>
    <mergeCell ref="A88:L88"/>
    <mergeCell ref="A107:M107"/>
    <mergeCell ref="A129:G129"/>
    <mergeCell ref="F130:F131"/>
    <mergeCell ref="G130:G131"/>
    <mergeCell ref="A130:A131"/>
    <mergeCell ref="B130:B131"/>
    <mergeCell ref="C130:C131"/>
    <mergeCell ref="A89:A90"/>
    <mergeCell ref="B89:B90"/>
    <mergeCell ref="A98:A99"/>
    <mergeCell ref="B98:B99"/>
    <mergeCell ref="C89:C90"/>
    <mergeCell ref="C98:C99"/>
    <mergeCell ref="I89:I90"/>
    <mergeCell ref="J89:J90"/>
    <mergeCell ref="K89:K90"/>
    <mergeCell ref="L89:L90"/>
    <mergeCell ref="G98:G99"/>
    <mergeCell ref="H98:H99"/>
    <mergeCell ref="G76:G77"/>
    <mergeCell ref="A68:A69"/>
  </mergeCells>
  <phoneticPr fontId="3" type="noConversion"/>
  <pageMargins left="0.25" right="0.25" top="0.75" bottom="0.75" header="0.3" footer="0.3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1F00-CB36-4C05-9AF7-D658A242EB1A}">
  <dimension ref="A1:Q52"/>
  <sheetViews>
    <sheetView zoomScaleNormal="100" workbookViewId="0">
      <selection activeCell="G4" sqref="G4"/>
    </sheetView>
  </sheetViews>
  <sheetFormatPr defaultRowHeight="15.6" customHeight="1" x14ac:dyDescent="0.4"/>
  <cols>
    <col min="1" max="10" width="8.796875" style="28"/>
    <col min="11" max="12" width="8.796875" style="49"/>
    <col min="13" max="13" width="8.796875" style="53"/>
    <col min="14" max="16384" width="8.796875" style="28"/>
  </cols>
  <sheetData>
    <row r="1" spans="1:16" ht="15.6" customHeight="1" x14ac:dyDescent="0.4">
      <c r="A1" s="271" t="s">
        <v>0</v>
      </c>
      <c r="B1" s="271" t="s">
        <v>1</v>
      </c>
      <c r="C1" s="271" t="s">
        <v>2</v>
      </c>
      <c r="D1" s="271" t="s">
        <v>6</v>
      </c>
      <c r="E1" s="271" t="s">
        <v>131</v>
      </c>
      <c r="F1" s="14" t="s">
        <v>5</v>
      </c>
      <c r="G1" s="287" t="s">
        <v>132</v>
      </c>
      <c r="H1" s="290" t="s">
        <v>4</v>
      </c>
      <c r="I1" s="317"/>
      <c r="J1" s="318"/>
      <c r="K1" s="319" t="s">
        <v>88</v>
      </c>
      <c r="L1" s="319"/>
      <c r="M1" s="319"/>
    </row>
    <row r="2" spans="1:16" ht="15.6" customHeight="1" x14ac:dyDescent="0.4">
      <c r="A2" s="271"/>
      <c r="B2" s="271"/>
      <c r="C2" s="271"/>
      <c r="D2" s="271"/>
      <c r="E2" s="271"/>
      <c r="F2" s="323" t="s">
        <v>3</v>
      </c>
      <c r="G2" s="322"/>
      <c r="H2" s="3" t="s">
        <v>18</v>
      </c>
      <c r="I2" s="3" t="s">
        <v>20</v>
      </c>
      <c r="J2" s="320" t="s">
        <v>87</v>
      </c>
      <c r="K2" s="69" t="s">
        <v>18</v>
      </c>
      <c r="L2" s="69" t="s">
        <v>20</v>
      </c>
      <c r="M2" s="316" t="s">
        <v>101</v>
      </c>
    </row>
    <row r="3" spans="1:16" ht="15.6" customHeight="1" x14ac:dyDescent="0.4">
      <c r="A3" s="271"/>
      <c r="B3" s="271"/>
      <c r="C3" s="271"/>
      <c r="D3" s="271"/>
      <c r="E3" s="271"/>
      <c r="F3" s="324"/>
      <c r="G3" s="288"/>
      <c r="H3" s="3" t="s">
        <v>19</v>
      </c>
      <c r="I3" s="3" t="s">
        <v>21</v>
      </c>
      <c r="J3" s="321"/>
      <c r="K3" s="38" t="s">
        <v>19</v>
      </c>
      <c r="L3" s="38" t="s">
        <v>21</v>
      </c>
      <c r="M3" s="316"/>
    </row>
    <row r="4" spans="1:16" s="29" customFormat="1" ht="15.6" customHeight="1" x14ac:dyDescent="0.4">
      <c r="A4" s="7" t="s">
        <v>12</v>
      </c>
      <c r="B4" s="7"/>
      <c r="C4" s="5">
        <v>148383</v>
      </c>
      <c r="D4" s="5">
        <v>59560</v>
      </c>
      <c r="E4" s="5">
        <v>88823</v>
      </c>
      <c r="F4" s="25">
        <v>1734</v>
      </c>
      <c r="G4" s="8">
        <v>87089</v>
      </c>
      <c r="H4" s="9">
        <v>45692</v>
      </c>
      <c r="I4" s="8">
        <v>41397</v>
      </c>
      <c r="J4" s="9">
        <f t="shared" ref="J4:J51" si="0">H4-I4</f>
        <v>4295</v>
      </c>
      <c r="K4" s="18">
        <f>H4/G4</f>
        <v>0.52465868249721548</v>
      </c>
      <c r="L4" s="52">
        <f>I4/G4</f>
        <v>0.47534131750278452</v>
      </c>
      <c r="M4" s="35">
        <f>K4-L4</f>
        <v>4.9317364994430957E-2</v>
      </c>
    </row>
    <row r="5" spans="1:16" s="29" customFormat="1" ht="15.6" customHeight="1" x14ac:dyDescent="0.4">
      <c r="A5" s="7" t="s">
        <v>13</v>
      </c>
      <c r="B5" s="7"/>
      <c r="C5" s="6">
        <v>311</v>
      </c>
      <c r="D5" s="6">
        <v>28</v>
      </c>
      <c r="E5" s="6">
        <v>283</v>
      </c>
      <c r="F5" s="23">
        <v>17</v>
      </c>
      <c r="G5" s="10">
        <v>266</v>
      </c>
      <c r="H5" s="10">
        <v>118</v>
      </c>
      <c r="I5" s="11">
        <v>148</v>
      </c>
      <c r="J5" s="12">
        <f t="shared" si="0"/>
        <v>-30</v>
      </c>
      <c r="K5" s="52">
        <f t="shared" ref="K5:K51" si="1">H5/G5</f>
        <v>0.44360902255639095</v>
      </c>
      <c r="L5" s="20">
        <f t="shared" ref="L5:L51" si="2">I5/G5</f>
        <v>0.55639097744360899</v>
      </c>
      <c r="M5" s="37">
        <f t="shared" ref="M5:M51" si="3">K5-L5</f>
        <v>-0.11278195488721804</v>
      </c>
    </row>
    <row r="6" spans="1:16" s="29" customFormat="1" ht="15.6" customHeight="1" x14ac:dyDescent="0.4">
      <c r="A6" s="7" t="s">
        <v>14</v>
      </c>
      <c r="B6" s="7"/>
      <c r="C6" s="5">
        <v>10035</v>
      </c>
      <c r="D6" s="6">
        <v>13</v>
      </c>
      <c r="E6" s="5">
        <v>10022</v>
      </c>
      <c r="F6" s="23">
        <v>206</v>
      </c>
      <c r="G6" s="8">
        <v>9816</v>
      </c>
      <c r="H6" s="9">
        <v>6211</v>
      </c>
      <c r="I6" s="8">
        <v>3605</v>
      </c>
      <c r="J6" s="9">
        <f t="shared" si="0"/>
        <v>2606</v>
      </c>
      <c r="K6" s="18">
        <f t="shared" si="1"/>
        <v>0.63274246128769351</v>
      </c>
      <c r="L6" s="52">
        <f t="shared" si="2"/>
        <v>0.36725753871230643</v>
      </c>
      <c r="M6" s="35">
        <f t="shared" si="3"/>
        <v>0.26548492257538708</v>
      </c>
    </row>
    <row r="7" spans="1:16" s="29" customFormat="1" ht="15.6" customHeight="1" x14ac:dyDescent="0.4">
      <c r="A7" s="7" t="s">
        <v>22</v>
      </c>
      <c r="B7" s="7" t="s">
        <v>11</v>
      </c>
      <c r="C7" s="5">
        <v>10344</v>
      </c>
      <c r="D7" s="5">
        <v>4609</v>
      </c>
      <c r="E7" s="5">
        <v>5735</v>
      </c>
      <c r="F7" s="23">
        <v>124</v>
      </c>
      <c r="G7" s="8">
        <v>5611</v>
      </c>
      <c r="H7" s="9">
        <v>2943</v>
      </c>
      <c r="I7" s="8">
        <v>2668</v>
      </c>
      <c r="J7" s="9">
        <f t="shared" si="0"/>
        <v>275</v>
      </c>
      <c r="K7" s="18">
        <f t="shared" si="1"/>
        <v>0.52450543575120301</v>
      </c>
      <c r="L7" s="52">
        <f t="shared" si="2"/>
        <v>0.47549456424879699</v>
      </c>
      <c r="M7" s="35">
        <f t="shared" si="3"/>
        <v>4.9010871502406017E-2</v>
      </c>
    </row>
    <row r="8" spans="1:16" ht="15.6" customHeight="1" x14ac:dyDescent="0.4">
      <c r="A8" s="27" t="s">
        <v>22</v>
      </c>
      <c r="B8" s="27" t="s">
        <v>15</v>
      </c>
      <c r="C8" s="25">
        <v>2114</v>
      </c>
      <c r="D8" s="23">
        <v>0</v>
      </c>
      <c r="E8" s="25">
        <v>2114</v>
      </c>
      <c r="F8" s="23">
        <v>48</v>
      </c>
      <c r="G8" s="25">
        <v>2066</v>
      </c>
      <c r="H8" s="25">
        <v>1383</v>
      </c>
      <c r="I8" s="23">
        <v>683</v>
      </c>
      <c r="J8" s="25">
        <f t="shared" si="0"/>
        <v>700</v>
      </c>
      <c r="K8" s="47">
        <f t="shared" si="1"/>
        <v>0.66940948693126812</v>
      </c>
      <c r="L8" s="47">
        <f t="shared" si="2"/>
        <v>0.33059051306873183</v>
      </c>
      <c r="M8" s="40">
        <f t="shared" si="3"/>
        <v>0.33881897386253629</v>
      </c>
      <c r="O8" s="36"/>
    </row>
    <row r="9" spans="1:16" ht="15.6" customHeight="1" x14ac:dyDescent="0.4">
      <c r="A9" s="27" t="s">
        <v>22</v>
      </c>
      <c r="B9" s="27" t="s">
        <v>16</v>
      </c>
      <c r="C9" s="25">
        <v>8230</v>
      </c>
      <c r="D9" s="25">
        <v>4609</v>
      </c>
      <c r="E9" s="25">
        <v>3621</v>
      </c>
      <c r="F9" s="23">
        <v>76</v>
      </c>
      <c r="G9" s="25">
        <v>3545</v>
      </c>
      <c r="H9" s="25">
        <v>1560</v>
      </c>
      <c r="I9" s="25">
        <v>1985</v>
      </c>
      <c r="J9" s="25">
        <f t="shared" si="0"/>
        <v>-425</v>
      </c>
      <c r="K9" s="47">
        <f t="shared" si="1"/>
        <v>0.4400564174894217</v>
      </c>
      <c r="L9" s="47">
        <f t="shared" si="2"/>
        <v>0.5599435825105783</v>
      </c>
      <c r="M9" s="40">
        <f t="shared" si="3"/>
        <v>-0.11988716502115659</v>
      </c>
    </row>
    <row r="10" spans="1:16" s="29" customFormat="1" ht="15.6" customHeight="1" x14ac:dyDescent="0.4">
      <c r="A10" s="7" t="s">
        <v>23</v>
      </c>
      <c r="B10" s="7" t="s">
        <v>11</v>
      </c>
      <c r="C10" s="5">
        <v>5911</v>
      </c>
      <c r="D10" s="5">
        <v>2229</v>
      </c>
      <c r="E10" s="5">
        <v>3682</v>
      </c>
      <c r="F10" s="23">
        <v>91</v>
      </c>
      <c r="G10" s="8">
        <v>3591</v>
      </c>
      <c r="H10" s="9">
        <v>1829</v>
      </c>
      <c r="I10" s="8">
        <v>1762</v>
      </c>
      <c r="J10" s="9">
        <f t="shared" si="0"/>
        <v>67</v>
      </c>
      <c r="K10" s="18">
        <f t="shared" si="1"/>
        <v>0.50932887774993041</v>
      </c>
      <c r="L10" s="52">
        <f t="shared" si="2"/>
        <v>0.49067112225006959</v>
      </c>
      <c r="M10" s="35">
        <f t="shared" si="3"/>
        <v>1.8657755499860817E-2</v>
      </c>
    </row>
    <row r="11" spans="1:16" ht="15.6" customHeight="1" x14ac:dyDescent="0.4">
      <c r="A11" s="27" t="s">
        <v>23</v>
      </c>
      <c r="B11" s="27" t="s">
        <v>15</v>
      </c>
      <c r="C11" s="25">
        <v>1424</v>
      </c>
      <c r="D11" s="23">
        <v>1</v>
      </c>
      <c r="E11" s="25">
        <v>1423</v>
      </c>
      <c r="F11" s="23">
        <v>40</v>
      </c>
      <c r="G11" s="25">
        <v>1383</v>
      </c>
      <c r="H11" s="23">
        <v>889</v>
      </c>
      <c r="I11" s="23">
        <v>494</v>
      </c>
      <c r="J11" s="25">
        <f t="shared" si="0"/>
        <v>395</v>
      </c>
      <c r="K11" s="47">
        <f t="shared" si="1"/>
        <v>0.64280549530007236</v>
      </c>
      <c r="L11" s="47">
        <f t="shared" si="2"/>
        <v>0.3571945046999277</v>
      </c>
      <c r="M11" s="40">
        <f t="shared" si="3"/>
        <v>0.28561099060014467</v>
      </c>
      <c r="P11" s="51"/>
    </row>
    <row r="12" spans="1:16" ht="15.6" customHeight="1" x14ac:dyDescent="0.4">
      <c r="A12" s="27" t="s">
        <v>23</v>
      </c>
      <c r="B12" s="27" t="s">
        <v>16</v>
      </c>
      <c r="C12" s="25">
        <v>4487</v>
      </c>
      <c r="D12" s="25">
        <v>2228</v>
      </c>
      <c r="E12" s="25">
        <v>2259</v>
      </c>
      <c r="F12" s="23">
        <v>51</v>
      </c>
      <c r="G12" s="25">
        <v>2208</v>
      </c>
      <c r="H12" s="23">
        <v>940</v>
      </c>
      <c r="I12" s="25">
        <v>1268</v>
      </c>
      <c r="J12" s="25">
        <f t="shared" si="0"/>
        <v>-328</v>
      </c>
      <c r="K12" s="47">
        <f t="shared" si="1"/>
        <v>0.42572463768115942</v>
      </c>
      <c r="L12" s="47">
        <f t="shared" si="2"/>
        <v>0.57427536231884058</v>
      </c>
      <c r="M12" s="40">
        <f t="shared" si="3"/>
        <v>-0.14855072463768115</v>
      </c>
    </row>
    <row r="13" spans="1:16" s="29" customFormat="1" ht="15.6" customHeight="1" x14ac:dyDescent="0.4">
      <c r="A13" s="7" t="s">
        <v>24</v>
      </c>
      <c r="B13" s="7" t="s">
        <v>11</v>
      </c>
      <c r="C13" s="5">
        <v>4473</v>
      </c>
      <c r="D13" s="5">
        <v>1806</v>
      </c>
      <c r="E13" s="5">
        <v>2667</v>
      </c>
      <c r="F13" s="23">
        <v>78</v>
      </c>
      <c r="G13" s="8">
        <v>2589</v>
      </c>
      <c r="H13" s="8">
        <v>1072</v>
      </c>
      <c r="I13" s="12">
        <v>1517</v>
      </c>
      <c r="J13" s="12">
        <f t="shared" si="0"/>
        <v>-445</v>
      </c>
      <c r="K13" s="52">
        <f t="shared" si="1"/>
        <v>0.41405948242564694</v>
      </c>
      <c r="L13" s="20">
        <f t="shared" si="2"/>
        <v>0.58594051757435306</v>
      </c>
      <c r="M13" s="37">
        <f t="shared" si="3"/>
        <v>-0.17188103514870612</v>
      </c>
    </row>
    <row r="14" spans="1:16" ht="15.6" customHeight="1" x14ac:dyDescent="0.4">
      <c r="A14" s="27" t="s">
        <v>24</v>
      </c>
      <c r="B14" s="27" t="s">
        <v>15</v>
      </c>
      <c r="C14" s="23">
        <v>829</v>
      </c>
      <c r="D14" s="23">
        <v>0</v>
      </c>
      <c r="E14" s="23">
        <v>829</v>
      </c>
      <c r="F14" s="23">
        <v>33</v>
      </c>
      <c r="G14" s="23">
        <v>796</v>
      </c>
      <c r="H14" s="23">
        <v>416</v>
      </c>
      <c r="I14" s="23">
        <v>380</v>
      </c>
      <c r="J14" s="25">
        <f t="shared" si="0"/>
        <v>36</v>
      </c>
      <c r="K14" s="47">
        <f t="shared" si="1"/>
        <v>0.52261306532663321</v>
      </c>
      <c r="L14" s="47">
        <f t="shared" si="2"/>
        <v>0.47738693467336685</v>
      </c>
      <c r="M14" s="40">
        <f t="shared" si="3"/>
        <v>4.5226130653266361E-2</v>
      </c>
    </row>
    <row r="15" spans="1:16" ht="15.6" customHeight="1" x14ac:dyDescent="0.4">
      <c r="A15" s="27" t="s">
        <v>24</v>
      </c>
      <c r="B15" s="27" t="s">
        <v>16</v>
      </c>
      <c r="C15" s="25">
        <v>3644</v>
      </c>
      <c r="D15" s="25">
        <v>1806</v>
      </c>
      <c r="E15" s="25">
        <v>1838</v>
      </c>
      <c r="F15" s="23">
        <v>45</v>
      </c>
      <c r="G15" s="25">
        <v>1793</v>
      </c>
      <c r="H15" s="23">
        <v>656</v>
      </c>
      <c r="I15" s="25">
        <v>1137</v>
      </c>
      <c r="J15" s="25">
        <f t="shared" si="0"/>
        <v>-481</v>
      </c>
      <c r="K15" s="47">
        <f t="shared" si="1"/>
        <v>0.36586726157278304</v>
      </c>
      <c r="L15" s="47">
        <f t="shared" si="2"/>
        <v>0.63413273842721696</v>
      </c>
      <c r="M15" s="40">
        <f t="shared" si="3"/>
        <v>-0.26826547685443392</v>
      </c>
    </row>
    <row r="16" spans="1:16" s="29" customFormat="1" ht="15.6" customHeight="1" x14ac:dyDescent="0.4">
      <c r="A16" s="7" t="s">
        <v>25</v>
      </c>
      <c r="B16" s="7" t="s">
        <v>11</v>
      </c>
      <c r="C16" s="5">
        <v>2870</v>
      </c>
      <c r="D16" s="5">
        <v>1018</v>
      </c>
      <c r="E16" s="5">
        <v>1852</v>
      </c>
      <c r="F16" s="23">
        <v>72</v>
      </c>
      <c r="G16" s="8">
        <v>1780</v>
      </c>
      <c r="H16" s="10">
        <v>734</v>
      </c>
      <c r="I16" s="12">
        <v>1046</v>
      </c>
      <c r="J16" s="12">
        <f t="shared" si="0"/>
        <v>-312</v>
      </c>
      <c r="K16" s="52">
        <f t="shared" si="1"/>
        <v>0.41235955056179774</v>
      </c>
      <c r="L16" s="20">
        <f t="shared" si="2"/>
        <v>0.58764044943820226</v>
      </c>
      <c r="M16" s="37">
        <f t="shared" si="3"/>
        <v>-0.17528089887640452</v>
      </c>
    </row>
    <row r="17" spans="1:17" ht="15.6" customHeight="1" x14ac:dyDescent="0.4">
      <c r="A17" s="27" t="s">
        <v>25</v>
      </c>
      <c r="B17" s="27" t="s">
        <v>15</v>
      </c>
      <c r="C17" s="23">
        <v>685</v>
      </c>
      <c r="D17" s="23">
        <v>1</v>
      </c>
      <c r="E17" s="23">
        <v>684</v>
      </c>
      <c r="F17" s="23">
        <v>35</v>
      </c>
      <c r="G17" s="23">
        <v>649</v>
      </c>
      <c r="H17" s="23">
        <v>340</v>
      </c>
      <c r="I17" s="23">
        <v>309</v>
      </c>
      <c r="J17" s="25">
        <f t="shared" si="0"/>
        <v>31</v>
      </c>
      <c r="K17" s="47">
        <f t="shared" si="1"/>
        <v>0.5238828967642527</v>
      </c>
      <c r="L17" s="47">
        <f t="shared" si="2"/>
        <v>0.4761171032357473</v>
      </c>
      <c r="M17" s="40">
        <f t="shared" si="3"/>
        <v>4.7765793528505407E-2</v>
      </c>
    </row>
    <row r="18" spans="1:17" ht="15.6" customHeight="1" x14ac:dyDescent="0.4">
      <c r="A18" s="27" t="s">
        <v>25</v>
      </c>
      <c r="B18" s="27" t="s">
        <v>16</v>
      </c>
      <c r="C18" s="25">
        <v>2185</v>
      </c>
      <c r="D18" s="25">
        <v>1017</v>
      </c>
      <c r="E18" s="25">
        <v>1168</v>
      </c>
      <c r="F18" s="23">
        <v>37</v>
      </c>
      <c r="G18" s="25">
        <v>1131</v>
      </c>
      <c r="H18" s="23">
        <v>394</v>
      </c>
      <c r="I18" s="23">
        <v>737</v>
      </c>
      <c r="J18" s="25">
        <f t="shared" si="0"/>
        <v>-343</v>
      </c>
      <c r="K18" s="47">
        <f t="shared" si="1"/>
        <v>0.34836427939876213</v>
      </c>
      <c r="L18" s="47">
        <f t="shared" si="2"/>
        <v>0.65163572060123787</v>
      </c>
      <c r="M18" s="40">
        <f t="shared" si="3"/>
        <v>-0.30327144120247573</v>
      </c>
    </row>
    <row r="19" spans="1:17" s="29" customFormat="1" ht="15.6" customHeight="1" x14ac:dyDescent="0.4">
      <c r="A19" s="7" t="s">
        <v>26</v>
      </c>
      <c r="B19" s="7" t="s">
        <v>11</v>
      </c>
      <c r="C19" s="5">
        <v>6257</v>
      </c>
      <c r="D19" s="5">
        <v>2687</v>
      </c>
      <c r="E19" s="5">
        <v>3570</v>
      </c>
      <c r="F19" s="23">
        <v>108</v>
      </c>
      <c r="G19" s="8">
        <v>3462</v>
      </c>
      <c r="H19" s="8">
        <v>1730</v>
      </c>
      <c r="I19" s="12">
        <v>1732</v>
      </c>
      <c r="J19" s="12">
        <f t="shared" si="0"/>
        <v>-2</v>
      </c>
      <c r="K19" s="52">
        <f t="shared" si="1"/>
        <v>0.49971114962449453</v>
      </c>
      <c r="L19" s="20">
        <f t="shared" si="2"/>
        <v>0.50028885037550552</v>
      </c>
      <c r="M19" s="37">
        <f t="shared" si="3"/>
        <v>-5.7770075101098994E-4</v>
      </c>
      <c r="Q19" s="30"/>
    </row>
    <row r="20" spans="1:17" ht="15.6" customHeight="1" x14ac:dyDescent="0.4">
      <c r="A20" s="27" t="s">
        <v>26</v>
      </c>
      <c r="B20" s="27" t="s">
        <v>15</v>
      </c>
      <c r="C20" s="25">
        <v>1092</v>
      </c>
      <c r="D20" s="23">
        <v>0</v>
      </c>
      <c r="E20" s="25">
        <v>1092</v>
      </c>
      <c r="F20" s="23">
        <v>46</v>
      </c>
      <c r="G20" s="25">
        <v>1046</v>
      </c>
      <c r="H20" s="23">
        <v>607</v>
      </c>
      <c r="I20" s="23">
        <v>439</v>
      </c>
      <c r="J20" s="25">
        <f t="shared" si="0"/>
        <v>168</v>
      </c>
      <c r="K20" s="47">
        <f t="shared" si="1"/>
        <v>0.58030592734225617</v>
      </c>
      <c r="L20" s="47">
        <f t="shared" si="2"/>
        <v>0.41969407265774378</v>
      </c>
      <c r="M20" s="40">
        <f t="shared" si="3"/>
        <v>0.16061185468451239</v>
      </c>
    </row>
    <row r="21" spans="1:17" ht="15.6" customHeight="1" x14ac:dyDescent="0.4">
      <c r="A21" s="27" t="s">
        <v>26</v>
      </c>
      <c r="B21" s="27" t="s">
        <v>16</v>
      </c>
      <c r="C21" s="25">
        <v>5165</v>
      </c>
      <c r="D21" s="25">
        <v>2687</v>
      </c>
      <c r="E21" s="25">
        <v>2478</v>
      </c>
      <c r="F21" s="23">
        <v>62</v>
      </c>
      <c r="G21" s="25">
        <v>2416</v>
      </c>
      <c r="H21" s="25">
        <v>1123</v>
      </c>
      <c r="I21" s="25">
        <v>1293</v>
      </c>
      <c r="J21" s="25">
        <f t="shared" si="0"/>
        <v>-170</v>
      </c>
      <c r="K21" s="47">
        <f t="shared" si="1"/>
        <v>0.46481788079470199</v>
      </c>
      <c r="L21" s="47">
        <f t="shared" si="2"/>
        <v>0.53518211920529801</v>
      </c>
      <c r="M21" s="40">
        <f t="shared" si="3"/>
        <v>-7.0364238410596025E-2</v>
      </c>
    </row>
    <row r="22" spans="1:17" s="29" customFormat="1" ht="15.6" customHeight="1" x14ac:dyDescent="0.4">
      <c r="A22" s="7" t="s">
        <v>27</v>
      </c>
      <c r="B22" s="7" t="s">
        <v>11</v>
      </c>
      <c r="C22" s="5">
        <v>12092</v>
      </c>
      <c r="D22" s="5">
        <v>5524</v>
      </c>
      <c r="E22" s="5">
        <v>6568</v>
      </c>
      <c r="F22" s="23">
        <v>109</v>
      </c>
      <c r="G22" s="8">
        <v>6459</v>
      </c>
      <c r="H22" s="9">
        <v>4091</v>
      </c>
      <c r="I22" s="8">
        <v>2368</v>
      </c>
      <c r="J22" s="9">
        <f t="shared" si="0"/>
        <v>1723</v>
      </c>
      <c r="K22" s="18">
        <f t="shared" si="1"/>
        <v>0.63337978015172625</v>
      </c>
      <c r="L22" s="52">
        <f t="shared" si="2"/>
        <v>0.36662021984827375</v>
      </c>
      <c r="M22" s="35">
        <f t="shared" si="3"/>
        <v>0.26675956030345249</v>
      </c>
    </row>
    <row r="23" spans="1:17" ht="15.6" customHeight="1" x14ac:dyDescent="0.4">
      <c r="A23" s="27" t="s">
        <v>27</v>
      </c>
      <c r="B23" s="27" t="s">
        <v>15</v>
      </c>
      <c r="C23" s="25">
        <v>2354</v>
      </c>
      <c r="D23" s="23">
        <v>0</v>
      </c>
      <c r="E23" s="25">
        <v>2354</v>
      </c>
      <c r="F23" s="23">
        <v>42</v>
      </c>
      <c r="G23" s="25">
        <v>2312</v>
      </c>
      <c r="H23" s="25">
        <v>1777</v>
      </c>
      <c r="I23" s="23">
        <v>535</v>
      </c>
      <c r="J23" s="25">
        <f t="shared" si="0"/>
        <v>1242</v>
      </c>
      <c r="K23" s="47">
        <f t="shared" si="1"/>
        <v>0.768598615916955</v>
      </c>
      <c r="L23" s="47">
        <f t="shared" si="2"/>
        <v>0.23140138408304498</v>
      </c>
      <c r="M23" s="40">
        <f t="shared" si="3"/>
        <v>0.53719723183390999</v>
      </c>
    </row>
    <row r="24" spans="1:17" ht="15.6" customHeight="1" x14ac:dyDescent="0.4">
      <c r="A24" s="27" t="s">
        <v>27</v>
      </c>
      <c r="B24" s="27" t="s">
        <v>16</v>
      </c>
      <c r="C24" s="25">
        <v>9738</v>
      </c>
      <c r="D24" s="25">
        <v>5524</v>
      </c>
      <c r="E24" s="25">
        <v>4214</v>
      </c>
      <c r="F24" s="23">
        <v>67</v>
      </c>
      <c r="G24" s="25">
        <v>4147</v>
      </c>
      <c r="H24" s="25">
        <v>2314</v>
      </c>
      <c r="I24" s="25">
        <v>1833</v>
      </c>
      <c r="J24" s="25">
        <f t="shared" si="0"/>
        <v>481</v>
      </c>
      <c r="K24" s="47">
        <f t="shared" si="1"/>
        <v>0.55799373040752354</v>
      </c>
      <c r="L24" s="47">
        <f t="shared" si="2"/>
        <v>0.44200626959247646</v>
      </c>
      <c r="M24" s="40">
        <f t="shared" si="3"/>
        <v>0.11598746081504707</v>
      </c>
    </row>
    <row r="25" spans="1:17" s="29" customFormat="1" ht="15.6" customHeight="1" x14ac:dyDescent="0.4">
      <c r="A25" s="7" t="s">
        <v>28</v>
      </c>
      <c r="B25" s="7" t="s">
        <v>11</v>
      </c>
      <c r="C25" s="5">
        <v>7569</v>
      </c>
      <c r="D25" s="5">
        <v>3284</v>
      </c>
      <c r="E25" s="5">
        <v>4285</v>
      </c>
      <c r="F25" s="23">
        <v>108</v>
      </c>
      <c r="G25" s="8">
        <v>4177</v>
      </c>
      <c r="H25" s="8">
        <v>1936</v>
      </c>
      <c r="I25" s="12">
        <v>2241</v>
      </c>
      <c r="J25" s="12">
        <f t="shared" si="0"/>
        <v>-305</v>
      </c>
      <c r="K25" s="52">
        <f t="shared" si="1"/>
        <v>0.46349054345223845</v>
      </c>
      <c r="L25" s="20">
        <f t="shared" si="2"/>
        <v>0.5365094565477615</v>
      </c>
      <c r="M25" s="37">
        <f t="shared" si="3"/>
        <v>-7.3018913095523053E-2</v>
      </c>
    </row>
    <row r="26" spans="1:17" ht="15.6" customHeight="1" x14ac:dyDescent="0.4">
      <c r="A26" s="27" t="s">
        <v>28</v>
      </c>
      <c r="B26" s="27" t="s">
        <v>15</v>
      </c>
      <c r="C26" s="25">
        <v>1117</v>
      </c>
      <c r="D26" s="23">
        <v>3</v>
      </c>
      <c r="E26" s="25">
        <v>1114</v>
      </c>
      <c r="F26" s="23">
        <v>40</v>
      </c>
      <c r="G26" s="25">
        <v>1074</v>
      </c>
      <c r="H26" s="23">
        <v>647</v>
      </c>
      <c r="I26" s="23">
        <v>427</v>
      </c>
      <c r="J26" s="25">
        <f t="shared" si="0"/>
        <v>220</v>
      </c>
      <c r="K26" s="47">
        <f t="shared" si="1"/>
        <v>0.60242085661080069</v>
      </c>
      <c r="L26" s="47">
        <f t="shared" si="2"/>
        <v>0.39757914338919925</v>
      </c>
      <c r="M26" s="40">
        <f t="shared" si="3"/>
        <v>0.20484171322160144</v>
      </c>
    </row>
    <row r="27" spans="1:17" ht="15.6" customHeight="1" x14ac:dyDescent="0.4">
      <c r="A27" s="27" t="s">
        <v>28</v>
      </c>
      <c r="B27" s="27" t="s">
        <v>16</v>
      </c>
      <c r="C27" s="25">
        <v>6452</v>
      </c>
      <c r="D27" s="25">
        <v>3281</v>
      </c>
      <c r="E27" s="25">
        <v>3171</v>
      </c>
      <c r="F27" s="23">
        <v>68</v>
      </c>
      <c r="G27" s="25">
        <v>3103</v>
      </c>
      <c r="H27" s="25">
        <v>1289</v>
      </c>
      <c r="I27" s="25">
        <v>1814</v>
      </c>
      <c r="J27" s="25">
        <f t="shared" si="0"/>
        <v>-525</v>
      </c>
      <c r="K27" s="47">
        <f t="shared" si="1"/>
        <v>0.41540444730905574</v>
      </c>
      <c r="L27" s="47">
        <f t="shared" si="2"/>
        <v>0.58459555269094421</v>
      </c>
      <c r="M27" s="40">
        <f t="shared" si="3"/>
        <v>-0.16919110538188847</v>
      </c>
    </row>
    <row r="28" spans="1:17" s="29" customFormat="1" ht="15.6" customHeight="1" x14ac:dyDescent="0.4">
      <c r="A28" s="7" t="s">
        <v>29</v>
      </c>
      <c r="B28" s="7" t="s">
        <v>11</v>
      </c>
      <c r="C28" s="5">
        <v>4342</v>
      </c>
      <c r="D28" s="5">
        <v>1591</v>
      </c>
      <c r="E28" s="5">
        <v>2751</v>
      </c>
      <c r="F28" s="23">
        <v>76</v>
      </c>
      <c r="G28" s="8">
        <v>2675</v>
      </c>
      <c r="H28" s="8">
        <v>1061</v>
      </c>
      <c r="I28" s="12">
        <v>1614</v>
      </c>
      <c r="J28" s="12">
        <f t="shared" si="0"/>
        <v>-553</v>
      </c>
      <c r="K28" s="52">
        <f t="shared" si="1"/>
        <v>0.39663551401869157</v>
      </c>
      <c r="L28" s="20">
        <f t="shared" si="2"/>
        <v>0.60336448598130843</v>
      </c>
      <c r="M28" s="37">
        <f t="shared" si="3"/>
        <v>-0.20672897196261686</v>
      </c>
    </row>
    <row r="29" spans="1:17" ht="15.6" customHeight="1" x14ac:dyDescent="0.4">
      <c r="A29" s="27" t="s">
        <v>29</v>
      </c>
      <c r="B29" s="27" t="s">
        <v>15</v>
      </c>
      <c r="C29" s="23">
        <v>934</v>
      </c>
      <c r="D29" s="23">
        <v>4</v>
      </c>
      <c r="E29" s="23">
        <v>930</v>
      </c>
      <c r="F29" s="23">
        <v>31</v>
      </c>
      <c r="G29" s="23">
        <v>899</v>
      </c>
      <c r="H29" s="23">
        <v>478</v>
      </c>
      <c r="I29" s="23">
        <v>421</v>
      </c>
      <c r="J29" s="25">
        <f t="shared" si="0"/>
        <v>57</v>
      </c>
      <c r="K29" s="47">
        <f t="shared" si="1"/>
        <v>0.53170189098998888</v>
      </c>
      <c r="L29" s="47">
        <f t="shared" si="2"/>
        <v>0.46829810901001112</v>
      </c>
      <c r="M29" s="40">
        <f t="shared" si="3"/>
        <v>6.3403781979977758E-2</v>
      </c>
    </row>
    <row r="30" spans="1:17" ht="15.6" customHeight="1" x14ac:dyDescent="0.4">
      <c r="A30" s="27" t="s">
        <v>29</v>
      </c>
      <c r="B30" s="27" t="s">
        <v>16</v>
      </c>
      <c r="C30" s="25">
        <v>3408</v>
      </c>
      <c r="D30" s="25">
        <v>1587</v>
      </c>
      <c r="E30" s="25">
        <v>1821</v>
      </c>
      <c r="F30" s="23">
        <v>45</v>
      </c>
      <c r="G30" s="25">
        <v>1776</v>
      </c>
      <c r="H30" s="23">
        <v>583</v>
      </c>
      <c r="I30" s="25">
        <v>1193</v>
      </c>
      <c r="J30" s="25">
        <f t="shared" si="0"/>
        <v>-610</v>
      </c>
      <c r="K30" s="47">
        <f t="shared" si="1"/>
        <v>0.32826576576576577</v>
      </c>
      <c r="L30" s="47">
        <f t="shared" si="2"/>
        <v>0.67173423423423428</v>
      </c>
      <c r="M30" s="40">
        <f t="shared" si="3"/>
        <v>-0.34346846846846851</v>
      </c>
    </row>
    <row r="31" spans="1:17" s="29" customFormat="1" ht="15.6" customHeight="1" x14ac:dyDescent="0.4">
      <c r="A31" s="7" t="s">
        <v>30</v>
      </c>
      <c r="B31" s="7" t="s">
        <v>11</v>
      </c>
      <c r="C31" s="5">
        <v>6526</v>
      </c>
      <c r="D31" s="5">
        <v>2704</v>
      </c>
      <c r="E31" s="5">
        <v>3822</v>
      </c>
      <c r="F31" s="23">
        <v>94</v>
      </c>
      <c r="G31" s="8">
        <v>3728</v>
      </c>
      <c r="H31" s="9">
        <v>1483</v>
      </c>
      <c r="I31" s="8">
        <v>2245</v>
      </c>
      <c r="J31" s="12">
        <f t="shared" si="0"/>
        <v>-762</v>
      </c>
      <c r="K31" s="52">
        <f t="shared" si="1"/>
        <v>0.39780042918454933</v>
      </c>
      <c r="L31" s="20">
        <f t="shared" si="2"/>
        <v>0.60219957081545061</v>
      </c>
      <c r="M31" s="37">
        <f t="shared" si="3"/>
        <v>-0.20439914163090128</v>
      </c>
    </row>
    <row r="32" spans="1:17" ht="15.6" customHeight="1" x14ac:dyDescent="0.4">
      <c r="A32" s="27" t="s">
        <v>30</v>
      </c>
      <c r="B32" s="27" t="s">
        <v>15</v>
      </c>
      <c r="C32" s="25">
        <v>1509</v>
      </c>
      <c r="D32" s="23">
        <v>1</v>
      </c>
      <c r="E32" s="25">
        <v>1508</v>
      </c>
      <c r="F32" s="23">
        <v>31</v>
      </c>
      <c r="G32" s="25">
        <v>1477</v>
      </c>
      <c r="H32" s="23">
        <v>798</v>
      </c>
      <c r="I32" s="23">
        <v>679</v>
      </c>
      <c r="J32" s="25">
        <f t="shared" si="0"/>
        <v>119</v>
      </c>
      <c r="K32" s="47">
        <f t="shared" si="1"/>
        <v>0.54028436018957349</v>
      </c>
      <c r="L32" s="47">
        <f t="shared" si="2"/>
        <v>0.45971563981042651</v>
      </c>
      <c r="M32" s="40">
        <f t="shared" si="3"/>
        <v>8.0568720379146974E-2</v>
      </c>
    </row>
    <row r="33" spans="1:14" ht="15.6" customHeight="1" x14ac:dyDescent="0.4">
      <c r="A33" s="27" t="s">
        <v>30</v>
      </c>
      <c r="B33" s="27" t="s">
        <v>16</v>
      </c>
      <c r="C33" s="25">
        <v>5017</v>
      </c>
      <c r="D33" s="25">
        <v>2703</v>
      </c>
      <c r="E33" s="25">
        <v>2314</v>
      </c>
      <c r="F33" s="23">
        <v>63</v>
      </c>
      <c r="G33" s="25">
        <v>2251</v>
      </c>
      <c r="H33" s="23">
        <v>685</v>
      </c>
      <c r="I33" s="25">
        <v>1566</v>
      </c>
      <c r="J33" s="25">
        <f t="shared" si="0"/>
        <v>-881</v>
      </c>
      <c r="K33" s="47">
        <f t="shared" si="1"/>
        <v>0.3043091959129276</v>
      </c>
      <c r="L33" s="47">
        <f t="shared" si="2"/>
        <v>0.6956908040870724</v>
      </c>
      <c r="M33" s="40">
        <f t="shared" si="3"/>
        <v>-0.3913816081741448</v>
      </c>
    </row>
    <row r="34" spans="1:14" s="29" customFormat="1" ht="15.6" customHeight="1" x14ac:dyDescent="0.4">
      <c r="A34" s="7" t="s">
        <v>31</v>
      </c>
      <c r="B34" s="7" t="s">
        <v>11</v>
      </c>
      <c r="C34" s="5">
        <v>4488</v>
      </c>
      <c r="D34" s="5">
        <v>2090</v>
      </c>
      <c r="E34" s="5">
        <v>2398</v>
      </c>
      <c r="F34" s="23">
        <v>60</v>
      </c>
      <c r="G34" s="8">
        <v>2338</v>
      </c>
      <c r="H34" s="9">
        <v>1046</v>
      </c>
      <c r="I34" s="8">
        <v>1292</v>
      </c>
      <c r="J34" s="12">
        <f t="shared" si="0"/>
        <v>-246</v>
      </c>
      <c r="K34" s="52">
        <f t="shared" si="1"/>
        <v>0.44739093242087252</v>
      </c>
      <c r="L34" s="20">
        <f t="shared" si="2"/>
        <v>0.55260906757912742</v>
      </c>
      <c r="M34" s="37">
        <f t="shared" si="3"/>
        <v>-0.1052181351582549</v>
      </c>
    </row>
    <row r="35" spans="1:14" ht="15.6" customHeight="1" x14ac:dyDescent="0.4">
      <c r="A35" s="27" t="s">
        <v>31</v>
      </c>
      <c r="B35" s="27" t="s">
        <v>15</v>
      </c>
      <c r="C35" s="23">
        <v>611</v>
      </c>
      <c r="D35" s="23">
        <v>0</v>
      </c>
      <c r="E35" s="23">
        <v>611</v>
      </c>
      <c r="F35" s="23">
        <v>21</v>
      </c>
      <c r="G35" s="23">
        <v>590</v>
      </c>
      <c r="H35" s="23">
        <v>340</v>
      </c>
      <c r="I35" s="23">
        <v>250</v>
      </c>
      <c r="J35" s="25">
        <f t="shared" si="0"/>
        <v>90</v>
      </c>
      <c r="K35" s="47">
        <f t="shared" si="1"/>
        <v>0.57627118644067798</v>
      </c>
      <c r="L35" s="47">
        <f t="shared" si="2"/>
        <v>0.42372881355932202</v>
      </c>
      <c r="M35" s="40">
        <f t="shared" si="3"/>
        <v>0.15254237288135597</v>
      </c>
    </row>
    <row r="36" spans="1:14" ht="15.6" customHeight="1" x14ac:dyDescent="0.4">
      <c r="A36" s="27" t="s">
        <v>31</v>
      </c>
      <c r="B36" s="27" t="s">
        <v>16</v>
      </c>
      <c r="C36" s="25">
        <v>3877</v>
      </c>
      <c r="D36" s="25">
        <v>2090</v>
      </c>
      <c r="E36" s="25">
        <v>1787</v>
      </c>
      <c r="F36" s="23">
        <v>39</v>
      </c>
      <c r="G36" s="25">
        <v>1748</v>
      </c>
      <c r="H36" s="23">
        <v>706</v>
      </c>
      <c r="I36" s="25">
        <v>1042</v>
      </c>
      <c r="J36" s="25">
        <f t="shared" si="0"/>
        <v>-336</v>
      </c>
      <c r="K36" s="47">
        <f t="shared" si="1"/>
        <v>0.40389016018306634</v>
      </c>
      <c r="L36" s="47">
        <f t="shared" si="2"/>
        <v>0.59610983981693366</v>
      </c>
      <c r="M36" s="40">
        <f t="shared" si="3"/>
        <v>-0.19221967963386732</v>
      </c>
    </row>
    <row r="37" spans="1:14" s="29" customFormat="1" ht="15.6" customHeight="1" x14ac:dyDescent="0.4">
      <c r="A37" s="7" t="s">
        <v>32</v>
      </c>
      <c r="B37" s="7" t="s">
        <v>11</v>
      </c>
      <c r="C37" s="5">
        <v>14333</v>
      </c>
      <c r="D37" s="5">
        <v>6424</v>
      </c>
      <c r="E37" s="5">
        <v>7909</v>
      </c>
      <c r="F37" s="23">
        <v>119</v>
      </c>
      <c r="G37" s="8">
        <v>7790</v>
      </c>
      <c r="H37" s="9">
        <v>4011</v>
      </c>
      <c r="I37" s="8">
        <v>3779</v>
      </c>
      <c r="J37" s="9">
        <f t="shared" si="0"/>
        <v>232</v>
      </c>
      <c r="K37" s="18">
        <f t="shared" si="1"/>
        <v>0.51489088575096276</v>
      </c>
      <c r="L37" s="52">
        <f t="shared" si="2"/>
        <v>0.48510911424903724</v>
      </c>
      <c r="M37" s="35">
        <f t="shared" si="3"/>
        <v>2.9781771501925514E-2</v>
      </c>
    </row>
    <row r="38" spans="1:14" ht="15.6" customHeight="1" x14ac:dyDescent="0.4">
      <c r="A38" s="27" t="s">
        <v>32</v>
      </c>
      <c r="B38" s="27" t="s">
        <v>15</v>
      </c>
      <c r="C38" s="25">
        <v>2507</v>
      </c>
      <c r="D38" s="23">
        <v>3</v>
      </c>
      <c r="E38" s="25">
        <v>2504</v>
      </c>
      <c r="F38" s="23">
        <v>34</v>
      </c>
      <c r="G38" s="25">
        <v>2470</v>
      </c>
      <c r="H38" s="25">
        <v>1683</v>
      </c>
      <c r="I38" s="23">
        <v>787</v>
      </c>
      <c r="J38" s="25">
        <f t="shared" si="0"/>
        <v>896</v>
      </c>
      <c r="K38" s="47">
        <f t="shared" si="1"/>
        <v>0.68137651821862344</v>
      </c>
      <c r="L38" s="47">
        <f t="shared" si="2"/>
        <v>0.31862348178137651</v>
      </c>
      <c r="M38" s="40">
        <f t="shared" si="3"/>
        <v>0.36275303643724693</v>
      </c>
    </row>
    <row r="39" spans="1:14" ht="15.6" customHeight="1" x14ac:dyDescent="0.4">
      <c r="A39" s="27" t="s">
        <v>32</v>
      </c>
      <c r="B39" s="27" t="s">
        <v>16</v>
      </c>
      <c r="C39" s="25">
        <v>11826</v>
      </c>
      <c r="D39" s="25">
        <v>6421</v>
      </c>
      <c r="E39" s="25">
        <v>5405</v>
      </c>
      <c r="F39" s="23">
        <v>85</v>
      </c>
      <c r="G39" s="25">
        <v>5320</v>
      </c>
      <c r="H39" s="25">
        <v>2328</v>
      </c>
      <c r="I39" s="25">
        <v>2992</v>
      </c>
      <c r="J39" s="25">
        <f t="shared" si="0"/>
        <v>-664</v>
      </c>
      <c r="K39" s="47">
        <f t="shared" si="1"/>
        <v>0.43759398496240604</v>
      </c>
      <c r="L39" s="47">
        <f t="shared" si="2"/>
        <v>0.56240601503759402</v>
      </c>
      <c r="M39" s="40">
        <f t="shared" si="3"/>
        <v>-0.12481203007518799</v>
      </c>
    </row>
    <row r="40" spans="1:14" s="29" customFormat="1" ht="15.6" customHeight="1" x14ac:dyDescent="0.4">
      <c r="A40" s="7" t="s">
        <v>33</v>
      </c>
      <c r="B40" s="7" t="s">
        <v>11</v>
      </c>
      <c r="C40" s="5">
        <v>13425</v>
      </c>
      <c r="D40" s="5">
        <v>5787</v>
      </c>
      <c r="E40" s="5">
        <v>7638</v>
      </c>
      <c r="F40" s="23">
        <v>97</v>
      </c>
      <c r="G40" s="8">
        <v>7541</v>
      </c>
      <c r="H40" s="9">
        <v>3806</v>
      </c>
      <c r="I40" s="8">
        <v>3735</v>
      </c>
      <c r="J40" s="9">
        <f t="shared" si="0"/>
        <v>71</v>
      </c>
      <c r="K40" s="18">
        <f t="shared" si="1"/>
        <v>0.50470759846174251</v>
      </c>
      <c r="L40" s="52">
        <f t="shared" si="2"/>
        <v>0.49529240153825754</v>
      </c>
      <c r="M40" s="35">
        <f t="shared" si="3"/>
        <v>9.4151969234849697E-3</v>
      </c>
    </row>
    <row r="41" spans="1:14" ht="15.6" customHeight="1" x14ac:dyDescent="0.4">
      <c r="A41" s="27" t="s">
        <v>33</v>
      </c>
      <c r="B41" s="27" t="s">
        <v>15</v>
      </c>
      <c r="C41" s="25">
        <v>2727</v>
      </c>
      <c r="D41" s="23">
        <v>1</v>
      </c>
      <c r="E41" s="25">
        <v>2726</v>
      </c>
      <c r="F41" s="23">
        <v>37</v>
      </c>
      <c r="G41" s="25">
        <v>2689</v>
      </c>
      <c r="H41" s="25">
        <v>1758</v>
      </c>
      <c r="I41" s="23">
        <v>931</v>
      </c>
      <c r="J41" s="25">
        <f t="shared" si="0"/>
        <v>827</v>
      </c>
      <c r="K41" s="47">
        <f t="shared" si="1"/>
        <v>0.65377463741167718</v>
      </c>
      <c r="L41" s="47">
        <f t="shared" si="2"/>
        <v>0.34622536258832282</v>
      </c>
      <c r="M41" s="40">
        <f t="shared" si="3"/>
        <v>0.30754927482335437</v>
      </c>
    </row>
    <row r="42" spans="1:14" ht="15.6" customHeight="1" x14ac:dyDescent="0.4">
      <c r="A42" s="27" t="s">
        <v>33</v>
      </c>
      <c r="B42" s="27" t="s">
        <v>16</v>
      </c>
      <c r="C42" s="25">
        <v>10698</v>
      </c>
      <c r="D42" s="25">
        <v>5786</v>
      </c>
      <c r="E42" s="25">
        <v>4912</v>
      </c>
      <c r="F42" s="23">
        <v>60</v>
      </c>
      <c r="G42" s="25">
        <v>4852</v>
      </c>
      <c r="H42" s="25">
        <v>2048</v>
      </c>
      <c r="I42" s="25">
        <v>2804</v>
      </c>
      <c r="J42" s="25">
        <f t="shared" si="0"/>
        <v>-756</v>
      </c>
      <c r="K42" s="47">
        <f t="shared" si="1"/>
        <v>0.42209398186314923</v>
      </c>
      <c r="L42" s="47">
        <f t="shared" si="2"/>
        <v>0.57790601813685083</v>
      </c>
      <c r="M42" s="40">
        <f t="shared" si="3"/>
        <v>-0.1558120362737016</v>
      </c>
    </row>
    <row r="43" spans="1:14" s="29" customFormat="1" ht="15.6" customHeight="1" x14ac:dyDescent="0.4">
      <c r="A43" s="7" t="s">
        <v>34</v>
      </c>
      <c r="B43" s="7" t="s">
        <v>11</v>
      </c>
      <c r="C43" s="5">
        <v>6768</v>
      </c>
      <c r="D43" s="5">
        <v>3071</v>
      </c>
      <c r="E43" s="5">
        <v>3697</v>
      </c>
      <c r="F43" s="23">
        <v>55</v>
      </c>
      <c r="G43" s="8">
        <v>3642</v>
      </c>
      <c r="H43" s="8">
        <v>1675</v>
      </c>
      <c r="I43" s="12">
        <v>1967</v>
      </c>
      <c r="J43" s="12">
        <f t="shared" si="0"/>
        <v>-292</v>
      </c>
      <c r="K43" s="52">
        <f t="shared" si="1"/>
        <v>0.45991213618890719</v>
      </c>
      <c r="L43" s="20">
        <f t="shared" si="2"/>
        <v>0.54008786381109286</v>
      </c>
      <c r="M43" s="37">
        <f t="shared" si="3"/>
        <v>-8.0175727622185666E-2</v>
      </c>
      <c r="N43" s="30"/>
    </row>
    <row r="44" spans="1:14" ht="15.6" customHeight="1" x14ac:dyDescent="0.4">
      <c r="A44" s="27" t="s">
        <v>34</v>
      </c>
      <c r="B44" s="27" t="s">
        <v>15</v>
      </c>
      <c r="C44" s="25">
        <v>1068</v>
      </c>
      <c r="D44" s="23">
        <v>2</v>
      </c>
      <c r="E44" s="25">
        <v>1066</v>
      </c>
      <c r="F44" s="23">
        <v>15</v>
      </c>
      <c r="G44" s="25">
        <v>1051</v>
      </c>
      <c r="H44" s="23">
        <v>676</v>
      </c>
      <c r="I44" s="23">
        <v>375</v>
      </c>
      <c r="J44" s="25">
        <f t="shared" si="0"/>
        <v>301</v>
      </c>
      <c r="K44" s="47">
        <f t="shared" si="1"/>
        <v>0.6431969552806851</v>
      </c>
      <c r="L44" s="47">
        <f t="shared" si="2"/>
        <v>0.35680304471931495</v>
      </c>
      <c r="M44" s="40">
        <f t="shared" si="3"/>
        <v>0.28639391056137015</v>
      </c>
    </row>
    <row r="45" spans="1:14" ht="15.6" customHeight="1" x14ac:dyDescent="0.4">
      <c r="A45" s="27" t="s">
        <v>34</v>
      </c>
      <c r="B45" s="27" t="s">
        <v>16</v>
      </c>
      <c r="C45" s="25">
        <v>5700</v>
      </c>
      <c r="D45" s="25">
        <v>3069</v>
      </c>
      <c r="E45" s="25">
        <v>2631</v>
      </c>
      <c r="F45" s="23">
        <v>40</v>
      </c>
      <c r="G45" s="25">
        <v>2591</v>
      </c>
      <c r="H45" s="23">
        <v>999</v>
      </c>
      <c r="I45" s="25">
        <v>1592</v>
      </c>
      <c r="J45" s="25">
        <f t="shared" si="0"/>
        <v>-593</v>
      </c>
      <c r="K45" s="47">
        <f t="shared" si="1"/>
        <v>0.3855654187572366</v>
      </c>
      <c r="L45" s="47">
        <f t="shared" si="2"/>
        <v>0.6144345812427634</v>
      </c>
      <c r="M45" s="40">
        <f t="shared" si="3"/>
        <v>-0.2288691624855268</v>
      </c>
    </row>
    <row r="46" spans="1:14" s="29" customFormat="1" ht="15.6" customHeight="1" x14ac:dyDescent="0.4">
      <c r="A46" s="7" t="s">
        <v>35</v>
      </c>
      <c r="B46" s="7" t="s">
        <v>11</v>
      </c>
      <c r="C46" s="5">
        <v>13312</v>
      </c>
      <c r="D46" s="5">
        <v>5758</v>
      </c>
      <c r="E46" s="5">
        <v>7554</v>
      </c>
      <c r="F46" s="23">
        <v>126</v>
      </c>
      <c r="G46" s="8">
        <v>7428</v>
      </c>
      <c r="H46" s="9">
        <v>3899</v>
      </c>
      <c r="I46" s="8">
        <v>3529</v>
      </c>
      <c r="J46" s="9">
        <f t="shared" si="0"/>
        <v>370</v>
      </c>
      <c r="K46" s="18">
        <f t="shared" si="1"/>
        <v>0.52490576198169092</v>
      </c>
      <c r="L46" s="52">
        <f t="shared" si="2"/>
        <v>0.47509423801830908</v>
      </c>
      <c r="M46" s="35">
        <f t="shared" si="3"/>
        <v>4.9811523963381843E-2</v>
      </c>
    </row>
    <row r="47" spans="1:14" ht="15.6" customHeight="1" x14ac:dyDescent="0.4">
      <c r="A47" s="27" t="s">
        <v>35</v>
      </c>
      <c r="B47" s="27" t="s">
        <v>15</v>
      </c>
      <c r="C47" s="25">
        <v>2686</v>
      </c>
      <c r="D47" s="23">
        <v>2</v>
      </c>
      <c r="E47" s="25">
        <v>2684</v>
      </c>
      <c r="F47" s="23">
        <v>47</v>
      </c>
      <c r="G47" s="25">
        <v>2637</v>
      </c>
      <c r="H47" s="25">
        <v>1769</v>
      </c>
      <c r="I47" s="23">
        <v>868</v>
      </c>
      <c r="J47" s="25">
        <f t="shared" si="0"/>
        <v>901</v>
      </c>
      <c r="K47" s="47">
        <f t="shared" si="1"/>
        <v>0.67083807356844904</v>
      </c>
      <c r="L47" s="47">
        <f t="shared" si="2"/>
        <v>0.32916192643155101</v>
      </c>
      <c r="M47" s="40">
        <f t="shared" si="3"/>
        <v>0.34167614713689803</v>
      </c>
    </row>
    <row r="48" spans="1:14" ht="15.6" customHeight="1" x14ac:dyDescent="0.4">
      <c r="A48" s="27" t="s">
        <v>35</v>
      </c>
      <c r="B48" s="27" t="s">
        <v>16</v>
      </c>
      <c r="C48" s="25">
        <v>10626</v>
      </c>
      <c r="D48" s="25">
        <v>5756</v>
      </c>
      <c r="E48" s="25">
        <v>4870</v>
      </c>
      <c r="F48" s="23">
        <v>79</v>
      </c>
      <c r="G48" s="25">
        <v>4791</v>
      </c>
      <c r="H48" s="25">
        <v>2130</v>
      </c>
      <c r="I48" s="25">
        <v>2661</v>
      </c>
      <c r="J48" s="25">
        <f t="shared" si="0"/>
        <v>-531</v>
      </c>
      <c r="K48" s="47">
        <f t="shared" si="1"/>
        <v>0.44458359423919852</v>
      </c>
      <c r="L48" s="47">
        <f t="shared" si="2"/>
        <v>0.55541640576080153</v>
      </c>
      <c r="M48" s="40">
        <f t="shared" si="3"/>
        <v>-0.11083281152160301</v>
      </c>
    </row>
    <row r="49" spans="1:13" s="29" customFormat="1" ht="15.6" customHeight="1" x14ac:dyDescent="0.4">
      <c r="A49" s="7" t="s">
        <v>36</v>
      </c>
      <c r="B49" s="7" t="s">
        <v>11</v>
      </c>
      <c r="C49" s="5">
        <v>25327</v>
      </c>
      <c r="D49" s="5">
        <v>10997</v>
      </c>
      <c r="E49" s="5">
        <v>14330</v>
      </c>
      <c r="F49" s="23">
        <v>193</v>
      </c>
      <c r="G49" s="8">
        <v>14137</v>
      </c>
      <c r="H49" s="9">
        <v>8017</v>
      </c>
      <c r="I49" s="8">
        <v>6120</v>
      </c>
      <c r="J49" s="9">
        <f t="shared" si="0"/>
        <v>1897</v>
      </c>
      <c r="K49" s="18">
        <f t="shared" si="1"/>
        <v>0.56709344273891205</v>
      </c>
      <c r="L49" s="52">
        <f t="shared" si="2"/>
        <v>0.4329065572610879</v>
      </c>
      <c r="M49" s="35">
        <f t="shared" si="3"/>
        <v>0.13418688547782415</v>
      </c>
    </row>
    <row r="50" spans="1:13" ht="15.6" customHeight="1" x14ac:dyDescent="0.4">
      <c r="A50" s="27" t="s">
        <v>36</v>
      </c>
      <c r="B50" s="27" t="s">
        <v>15</v>
      </c>
      <c r="C50" s="25">
        <v>4072</v>
      </c>
      <c r="D50" s="23">
        <v>4</v>
      </c>
      <c r="E50" s="25">
        <v>4068</v>
      </c>
      <c r="F50" s="23">
        <v>56</v>
      </c>
      <c r="G50" s="25">
        <v>4012</v>
      </c>
      <c r="H50" s="25">
        <v>2854</v>
      </c>
      <c r="I50" s="25">
        <v>1158</v>
      </c>
      <c r="J50" s="25">
        <f t="shared" si="0"/>
        <v>1696</v>
      </c>
      <c r="K50" s="47">
        <f t="shared" si="1"/>
        <v>0.71136590229312069</v>
      </c>
      <c r="L50" s="47">
        <f t="shared" si="2"/>
        <v>0.28863409770687937</v>
      </c>
      <c r="M50" s="40">
        <f t="shared" si="3"/>
        <v>0.42273180458624132</v>
      </c>
    </row>
    <row r="51" spans="1:13" ht="15.6" customHeight="1" x14ac:dyDescent="0.4">
      <c r="A51" s="27" t="s">
        <v>36</v>
      </c>
      <c r="B51" s="27" t="s">
        <v>16</v>
      </c>
      <c r="C51" s="25">
        <v>21255</v>
      </c>
      <c r="D51" s="25">
        <v>10993</v>
      </c>
      <c r="E51" s="25">
        <v>10262</v>
      </c>
      <c r="F51" s="23">
        <v>137</v>
      </c>
      <c r="G51" s="25">
        <v>10125</v>
      </c>
      <c r="H51" s="25">
        <v>5163</v>
      </c>
      <c r="I51" s="25">
        <v>4962</v>
      </c>
      <c r="J51" s="25">
        <f t="shared" si="0"/>
        <v>201</v>
      </c>
      <c r="K51" s="47">
        <f t="shared" si="1"/>
        <v>0.50992592592592589</v>
      </c>
      <c r="L51" s="47">
        <f t="shared" si="2"/>
        <v>0.49007407407407405</v>
      </c>
      <c r="M51" s="40">
        <f t="shared" si="3"/>
        <v>1.9851851851851843E-2</v>
      </c>
    </row>
    <row r="52" spans="1:13" ht="15.6" customHeight="1" x14ac:dyDescent="0.4">
      <c r="A52" s="4" t="s">
        <v>17</v>
      </c>
      <c r="B52" s="4"/>
      <c r="C52" s="6">
        <v>0</v>
      </c>
      <c r="D52" s="6">
        <v>-60</v>
      </c>
      <c r="E52" s="6">
        <v>60</v>
      </c>
      <c r="F52" s="23">
        <v>1</v>
      </c>
      <c r="G52" s="6">
        <v>59</v>
      </c>
      <c r="H52" s="6">
        <v>30</v>
      </c>
      <c r="I52" s="6">
        <v>29</v>
      </c>
      <c r="J52" s="6"/>
      <c r="K52" s="48"/>
      <c r="L52" s="48"/>
      <c r="M52" s="40"/>
    </row>
  </sheetData>
  <mergeCells count="11">
    <mergeCell ref="A1:A3"/>
    <mergeCell ref="B1:B3"/>
    <mergeCell ref="C1:C3"/>
    <mergeCell ref="E1:E3"/>
    <mergeCell ref="F2:F3"/>
    <mergeCell ref="M2:M3"/>
    <mergeCell ref="H1:J1"/>
    <mergeCell ref="K1:M1"/>
    <mergeCell ref="D1:D3"/>
    <mergeCell ref="J2:J3"/>
    <mergeCell ref="G1:G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C3E5-34A0-4D63-88CE-3EED41AC7980}">
  <dimension ref="A1:Q52"/>
  <sheetViews>
    <sheetView zoomScaleNormal="100" workbookViewId="0">
      <selection activeCell="I4" sqref="I4"/>
    </sheetView>
  </sheetViews>
  <sheetFormatPr defaultRowHeight="18" customHeight="1" x14ac:dyDescent="0.4"/>
  <cols>
    <col min="1" max="12" width="8.796875" style="28"/>
    <col min="13" max="17" width="8.796875" style="31"/>
    <col min="18" max="16384" width="8.796875" style="28"/>
  </cols>
  <sheetData>
    <row r="1" spans="1:17" ht="18" customHeight="1" x14ac:dyDescent="0.4">
      <c r="A1" s="271" t="s">
        <v>0</v>
      </c>
      <c r="B1" s="271" t="s">
        <v>1</v>
      </c>
      <c r="C1" s="271" t="s">
        <v>2</v>
      </c>
      <c r="D1" s="271" t="s">
        <v>6</v>
      </c>
      <c r="E1" s="271" t="s">
        <v>131</v>
      </c>
      <c r="F1" s="3" t="s">
        <v>5</v>
      </c>
      <c r="G1" s="287" t="s">
        <v>132</v>
      </c>
      <c r="H1" s="263" t="s">
        <v>4</v>
      </c>
      <c r="I1" s="328"/>
      <c r="J1" s="328"/>
      <c r="K1" s="328"/>
      <c r="L1" s="264"/>
      <c r="M1" s="327" t="s">
        <v>88</v>
      </c>
      <c r="N1" s="327"/>
      <c r="O1" s="327"/>
      <c r="P1" s="327"/>
      <c r="Q1" s="327"/>
    </row>
    <row r="2" spans="1:17" ht="18" customHeight="1" x14ac:dyDescent="0.4">
      <c r="A2" s="271"/>
      <c r="B2" s="271"/>
      <c r="C2" s="271"/>
      <c r="D2" s="271"/>
      <c r="E2" s="271"/>
      <c r="F2" s="287" t="s">
        <v>3</v>
      </c>
      <c r="G2" s="322"/>
      <c r="H2" s="3" t="s">
        <v>18</v>
      </c>
      <c r="I2" s="3" t="s">
        <v>20</v>
      </c>
      <c r="J2" s="3" t="s">
        <v>39</v>
      </c>
      <c r="K2" s="320" t="s">
        <v>96</v>
      </c>
      <c r="L2" s="320" t="s">
        <v>105</v>
      </c>
      <c r="M2" s="54" t="s">
        <v>18</v>
      </c>
      <c r="N2" s="54" t="s">
        <v>20</v>
      </c>
      <c r="O2" s="54" t="s">
        <v>39</v>
      </c>
      <c r="P2" s="325" t="s">
        <v>103</v>
      </c>
      <c r="Q2" s="325" t="s">
        <v>104</v>
      </c>
    </row>
    <row r="3" spans="1:17" ht="18" customHeight="1" x14ac:dyDescent="0.4">
      <c r="A3" s="271"/>
      <c r="B3" s="271"/>
      <c r="C3" s="271"/>
      <c r="D3" s="271"/>
      <c r="E3" s="271"/>
      <c r="F3" s="288"/>
      <c r="G3" s="288"/>
      <c r="H3" s="3" t="s">
        <v>37</v>
      </c>
      <c r="I3" s="3" t="s">
        <v>38</v>
      </c>
      <c r="J3" s="3" t="s">
        <v>40</v>
      </c>
      <c r="K3" s="321"/>
      <c r="L3" s="321"/>
      <c r="M3" s="54" t="s">
        <v>90</v>
      </c>
      <c r="N3" s="54" t="s">
        <v>91</v>
      </c>
      <c r="O3" s="54" t="s">
        <v>40</v>
      </c>
      <c r="P3" s="326"/>
      <c r="Q3" s="326"/>
    </row>
    <row r="4" spans="1:17" s="29" customFormat="1" ht="18" customHeight="1" x14ac:dyDescent="0.4">
      <c r="A4" s="7" t="s">
        <v>12</v>
      </c>
      <c r="B4" s="7"/>
      <c r="C4" s="5">
        <v>148383</v>
      </c>
      <c r="D4" s="5">
        <v>59558</v>
      </c>
      <c r="E4" s="5">
        <v>88825</v>
      </c>
      <c r="F4" s="5">
        <v>1247</v>
      </c>
      <c r="G4" s="8">
        <v>87578</v>
      </c>
      <c r="H4" s="8">
        <v>41108</v>
      </c>
      <c r="I4" s="12">
        <v>43949</v>
      </c>
      <c r="J4" s="8">
        <v>2521</v>
      </c>
      <c r="K4" s="83">
        <f t="shared" ref="K4:K51" si="0">H4-I4</f>
        <v>-2841</v>
      </c>
      <c r="L4" s="26">
        <f>H4-(I4+J4)</f>
        <v>-5362</v>
      </c>
      <c r="M4" s="19">
        <f>H4/G4</f>
        <v>0.469387289045194</v>
      </c>
      <c r="N4" s="20">
        <f>I4/G4</f>
        <v>0.50182694283952589</v>
      </c>
      <c r="O4" s="32">
        <f>J4/G4</f>
        <v>2.8785768115280094E-2</v>
      </c>
      <c r="P4" s="84">
        <f>M4-N4</f>
        <v>-3.2439653794331891E-2</v>
      </c>
      <c r="Q4" s="41">
        <f>M4-(N4+O4)</f>
        <v>-6.1225421909611999E-2</v>
      </c>
    </row>
    <row r="5" spans="1:17" s="29" customFormat="1" ht="18" customHeight="1" x14ac:dyDescent="0.4">
      <c r="A5" s="7" t="s">
        <v>13</v>
      </c>
      <c r="B5" s="7"/>
      <c r="C5" s="6">
        <v>311</v>
      </c>
      <c r="D5" s="6">
        <v>28</v>
      </c>
      <c r="E5" s="6">
        <v>283</v>
      </c>
      <c r="F5" s="6">
        <v>22</v>
      </c>
      <c r="G5" s="10">
        <v>261</v>
      </c>
      <c r="H5" s="10">
        <v>105</v>
      </c>
      <c r="I5" s="11">
        <v>140</v>
      </c>
      <c r="J5" s="10">
        <v>16</v>
      </c>
      <c r="K5" s="83">
        <f t="shared" si="0"/>
        <v>-35</v>
      </c>
      <c r="L5" s="26">
        <f t="shared" ref="L5:L51" si="1">H5-(I5+J5)</f>
        <v>-51</v>
      </c>
      <c r="M5" s="19">
        <f t="shared" ref="M5:M51" si="2">H5/G5</f>
        <v>0.40229885057471265</v>
      </c>
      <c r="N5" s="20">
        <f t="shared" ref="N5:N51" si="3">I5/G5</f>
        <v>0.53639846743295017</v>
      </c>
      <c r="O5" s="32">
        <f t="shared" ref="O5:O51" si="4">J5/G5</f>
        <v>6.1302681992337162E-2</v>
      </c>
      <c r="P5" s="84">
        <f t="shared" ref="P5:P51" si="5">M5-N5</f>
        <v>-0.13409961685823751</v>
      </c>
      <c r="Q5" s="41">
        <f t="shared" ref="Q5:Q51" si="6">M5-(N5+O5)</f>
        <v>-0.19540229885057464</v>
      </c>
    </row>
    <row r="6" spans="1:17" s="29" customFormat="1" ht="18" customHeight="1" x14ac:dyDescent="0.4">
      <c r="A6" s="7" t="s">
        <v>14</v>
      </c>
      <c r="B6" s="7"/>
      <c r="C6" s="5">
        <v>10035</v>
      </c>
      <c r="D6" s="6">
        <v>7</v>
      </c>
      <c r="E6" s="5">
        <v>10028</v>
      </c>
      <c r="F6" s="6">
        <v>138</v>
      </c>
      <c r="G6" s="8">
        <v>9890</v>
      </c>
      <c r="H6" s="9">
        <v>5616</v>
      </c>
      <c r="I6" s="8">
        <v>3989</v>
      </c>
      <c r="J6" s="10">
        <v>285</v>
      </c>
      <c r="K6" s="81">
        <f t="shared" si="0"/>
        <v>1627</v>
      </c>
      <c r="L6" s="24">
        <f t="shared" si="1"/>
        <v>1342</v>
      </c>
      <c r="M6" s="18">
        <f t="shared" si="2"/>
        <v>0.56784630940343783</v>
      </c>
      <c r="N6" s="19">
        <f t="shared" si="3"/>
        <v>0.40333670374115266</v>
      </c>
      <c r="O6" s="32">
        <f t="shared" si="4"/>
        <v>2.8816986855409503E-2</v>
      </c>
      <c r="P6" s="82">
        <f t="shared" si="5"/>
        <v>0.16450960566228517</v>
      </c>
      <c r="Q6" s="39">
        <f t="shared" si="6"/>
        <v>0.13569261880687566</v>
      </c>
    </row>
    <row r="7" spans="1:17" s="29" customFormat="1" ht="18" customHeight="1" x14ac:dyDescent="0.4">
      <c r="A7" s="7" t="s">
        <v>22</v>
      </c>
      <c r="B7" s="7" t="s">
        <v>11</v>
      </c>
      <c r="C7" s="5">
        <v>10344</v>
      </c>
      <c r="D7" s="5">
        <v>4614</v>
      </c>
      <c r="E7" s="5">
        <v>5730</v>
      </c>
      <c r="F7" s="6">
        <v>112</v>
      </c>
      <c r="G7" s="8">
        <v>5618</v>
      </c>
      <c r="H7" s="9">
        <v>2878</v>
      </c>
      <c r="I7" s="8">
        <v>2614</v>
      </c>
      <c r="J7" s="10">
        <v>126</v>
      </c>
      <c r="K7" s="81">
        <f t="shared" si="0"/>
        <v>264</v>
      </c>
      <c r="L7" s="24">
        <f t="shared" si="1"/>
        <v>138</v>
      </c>
      <c r="M7" s="18">
        <f t="shared" si="2"/>
        <v>0.51228195087219652</v>
      </c>
      <c r="N7" s="19">
        <f t="shared" si="3"/>
        <v>0.46529013883944464</v>
      </c>
      <c r="O7" s="32">
        <f t="shared" si="4"/>
        <v>2.2427910288358846E-2</v>
      </c>
      <c r="P7" s="82">
        <f t="shared" si="5"/>
        <v>4.6991812032751878E-2</v>
      </c>
      <c r="Q7" s="39">
        <f t="shared" si="6"/>
        <v>2.4563901744393046E-2</v>
      </c>
    </row>
    <row r="8" spans="1:17" ht="18" customHeight="1" x14ac:dyDescent="0.4">
      <c r="A8" s="4" t="s">
        <v>22</v>
      </c>
      <c r="B8" s="4" t="s">
        <v>15</v>
      </c>
      <c r="C8" s="5">
        <v>2114</v>
      </c>
      <c r="D8" s="6">
        <v>4</v>
      </c>
      <c r="E8" s="5">
        <v>2110</v>
      </c>
      <c r="F8" s="6">
        <v>53</v>
      </c>
      <c r="G8" s="5">
        <v>2057</v>
      </c>
      <c r="H8" s="5">
        <v>1323</v>
      </c>
      <c r="I8" s="6">
        <v>698</v>
      </c>
      <c r="J8" s="6">
        <v>36</v>
      </c>
      <c r="K8" s="85">
        <f t="shared" si="0"/>
        <v>625</v>
      </c>
      <c r="L8" s="25">
        <f t="shared" si="1"/>
        <v>589</v>
      </c>
      <c r="M8" s="22">
        <f t="shared" si="2"/>
        <v>0.64316966456003888</v>
      </c>
      <c r="N8" s="22">
        <f t="shared" si="3"/>
        <v>0.33932912007778315</v>
      </c>
      <c r="O8" s="33">
        <f t="shared" si="4"/>
        <v>1.7501215362177931E-2</v>
      </c>
      <c r="P8" s="87">
        <f t="shared" si="5"/>
        <v>0.30384054448225573</v>
      </c>
      <c r="Q8" s="33">
        <f t="shared" si="6"/>
        <v>0.28633932912007781</v>
      </c>
    </row>
    <row r="9" spans="1:17" ht="18" customHeight="1" x14ac:dyDescent="0.4">
      <c r="A9" s="4" t="s">
        <v>22</v>
      </c>
      <c r="B9" s="4" t="s">
        <v>16</v>
      </c>
      <c r="C9" s="5">
        <v>8230</v>
      </c>
      <c r="D9" s="5">
        <v>4610</v>
      </c>
      <c r="E9" s="5">
        <v>3620</v>
      </c>
      <c r="F9" s="6">
        <v>59</v>
      </c>
      <c r="G9" s="5">
        <v>3561</v>
      </c>
      <c r="H9" s="5">
        <v>1555</v>
      </c>
      <c r="I9" s="5">
        <v>1916</v>
      </c>
      <c r="J9" s="6">
        <v>90</v>
      </c>
      <c r="K9" s="85">
        <f t="shared" si="0"/>
        <v>-361</v>
      </c>
      <c r="L9" s="25">
        <f t="shared" si="1"/>
        <v>-451</v>
      </c>
      <c r="M9" s="22">
        <f t="shared" si="2"/>
        <v>0.43667509126649817</v>
      </c>
      <c r="N9" s="22">
        <f t="shared" si="3"/>
        <v>0.53805110923897781</v>
      </c>
      <c r="O9" s="33">
        <f t="shared" si="4"/>
        <v>2.5273799494524012E-2</v>
      </c>
      <c r="P9" s="87">
        <f t="shared" si="5"/>
        <v>-0.10137601797247964</v>
      </c>
      <c r="Q9" s="33">
        <f t="shared" si="6"/>
        <v>-0.12664981746700366</v>
      </c>
    </row>
    <row r="10" spans="1:17" s="29" customFormat="1" ht="18" customHeight="1" x14ac:dyDescent="0.4">
      <c r="A10" s="7" t="s">
        <v>23</v>
      </c>
      <c r="B10" s="7" t="s">
        <v>11</v>
      </c>
      <c r="C10" s="5">
        <v>5911</v>
      </c>
      <c r="D10" s="5">
        <v>2227</v>
      </c>
      <c r="E10" s="5">
        <v>3684</v>
      </c>
      <c r="F10" s="6">
        <v>54</v>
      </c>
      <c r="G10" s="8">
        <v>3630</v>
      </c>
      <c r="H10" s="9">
        <v>1723</v>
      </c>
      <c r="I10" s="8">
        <v>1664</v>
      </c>
      <c r="J10" s="10">
        <v>243</v>
      </c>
      <c r="K10" s="81">
        <f t="shared" si="0"/>
        <v>59</v>
      </c>
      <c r="L10" s="26">
        <f t="shared" si="1"/>
        <v>-184</v>
      </c>
      <c r="M10" s="18">
        <f t="shared" si="2"/>
        <v>0.4746556473829201</v>
      </c>
      <c r="N10" s="19">
        <f t="shared" si="3"/>
        <v>0.45840220385674929</v>
      </c>
      <c r="O10" s="32">
        <f t="shared" si="4"/>
        <v>6.6942148760330583E-2</v>
      </c>
      <c r="P10" s="82">
        <f t="shared" si="5"/>
        <v>1.6253443526170808E-2</v>
      </c>
      <c r="Q10" s="41">
        <f t="shared" si="6"/>
        <v>-5.0688705234159803E-2</v>
      </c>
    </row>
    <row r="11" spans="1:17" ht="18" customHeight="1" x14ac:dyDescent="0.4">
      <c r="A11" s="4" t="s">
        <v>23</v>
      </c>
      <c r="B11" s="4" t="s">
        <v>15</v>
      </c>
      <c r="C11" s="5">
        <v>1424</v>
      </c>
      <c r="D11" s="6">
        <v>1</v>
      </c>
      <c r="E11" s="5">
        <v>1423</v>
      </c>
      <c r="F11" s="6">
        <v>24</v>
      </c>
      <c r="G11" s="5">
        <v>1399</v>
      </c>
      <c r="H11" s="6">
        <v>855</v>
      </c>
      <c r="I11" s="6">
        <v>480</v>
      </c>
      <c r="J11" s="6">
        <v>64</v>
      </c>
      <c r="K11" s="85">
        <f t="shared" si="0"/>
        <v>375</v>
      </c>
      <c r="L11" s="25">
        <f t="shared" si="1"/>
        <v>311</v>
      </c>
      <c r="M11" s="22">
        <f t="shared" si="2"/>
        <v>0.61115082201572557</v>
      </c>
      <c r="N11" s="22">
        <f t="shared" si="3"/>
        <v>0.3431022158684775</v>
      </c>
      <c r="O11" s="33">
        <f t="shared" si="4"/>
        <v>4.5746962115796999E-2</v>
      </c>
      <c r="P11" s="87">
        <f t="shared" si="5"/>
        <v>0.26804860614724807</v>
      </c>
      <c r="Q11" s="33">
        <f t="shared" si="6"/>
        <v>0.22230164403145108</v>
      </c>
    </row>
    <row r="12" spans="1:17" ht="18" customHeight="1" x14ac:dyDescent="0.4">
      <c r="A12" s="4" t="s">
        <v>23</v>
      </c>
      <c r="B12" s="4" t="s">
        <v>16</v>
      </c>
      <c r="C12" s="5">
        <v>4487</v>
      </c>
      <c r="D12" s="5">
        <v>2226</v>
      </c>
      <c r="E12" s="5">
        <v>2261</v>
      </c>
      <c r="F12" s="6">
        <v>30</v>
      </c>
      <c r="G12" s="5">
        <v>2231</v>
      </c>
      <c r="H12" s="6">
        <v>868</v>
      </c>
      <c r="I12" s="5">
        <v>1184</v>
      </c>
      <c r="J12" s="6">
        <v>179</v>
      </c>
      <c r="K12" s="85">
        <f t="shared" si="0"/>
        <v>-316</v>
      </c>
      <c r="L12" s="25">
        <f t="shared" si="1"/>
        <v>-495</v>
      </c>
      <c r="M12" s="22">
        <f t="shared" si="2"/>
        <v>0.38906320035858361</v>
      </c>
      <c r="N12" s="22">
        <f t="shared" si="3"/>
        <v>0.53070372030479607</v>
      </c>
      <c r="O12" s="33">
        <f t="shared" si="4"/>
        <v>8.0233079336620355E-2</v>
      </c>
      <c r="P12" s="87">
        <f t="shared" si="5"/>
        <v>-0.14164051994621246</v>
      </c>
      <c r="Q12" s="33">
        <f t="shared" si="6"/>
        <v>-0.22187359928283285</v>
      </c>
    </row>
    <row r="13" spans="1:17" s="29" customFormat="1" ht="18" customHeight="1" x14ac:dyDescent="0.4">
      <c r="A13" s="7" t="s">
        <v>24</v>
      </c>
      <c r="B13" s="7" t="s">
        <v>11</v>
      </c>
      <c r="C13" s="5">
        <v>4473</v>
      </c>
      <c r="D13" s="5">
        <v>1805</v>
      </c>
      <c r="E13" s="5">
        <v>2668</v>
      </c>
      <c r="F13" s="6">
        <v>48</v>
      </c>
      <c r="G13" s="8">
        <v>2620</v>
      </c>
      <c r="H13" s="10">
        <v>994</v>
      </c>
      <c r="I13" s="12">
        <v>1540</v>
      </c>
      <c r="J13" s="10">
        <v>86</v>
      </c>
      <c r="K13" s="83">
        <f t="shared" si="0"/>
        <v>-546</v>
      </c>
      <c r="L13" s="26">
        <f t="shared" si="1"/>
        <v>-632</v>
      </c>
      <c r="M13" s="19">
        <f t="shared" si="2"/>
        <v>0.37938931297709921</v>
      </c>
      <c r="N13" s="20">
        <f t="shared" si="3"/>
        <v>0.58778625954198471</v>
      </c>
      <c r="O13" s="32">
        <f t="shared" si="4"/>
        <v>3.2824427480916032E-2</v>
      </c>
      <c r="P13" s="84">
        <f t="shared" si="5"/>
        <v>-0.2083969465648855</v>
      </c>
      <c r="Q13" s="41">
        <f t="shared" si="6"/>
        <v>-0.24122137404580157</v>
      </c>
    </row>
    <row r="14" spans="1:17" ht="18" customHeight="1" x14ac:dyDescent="0.4">
      <c r="A14" s="4" t="s">
        <v>24</v>
      </c>
      <c r="B14" s="4" t="s">
        <v>15</v>
      </c>
      <c r="C14" s="6">
        <v>829</v>
      </c>
      <c r="D14" s="6">
        <v>0</v>
      </c>
      <c r="E14" s="6">
        <v>829</v>
      </c>
      <c r="F14" s="6">
        <v>18</v>
      </c>
      <c r="G14" s="6">
        <v>811</v>
      </c>
      <c r="H14" s="6">
        <v>379</v>
      </c>
      <c r="I14" s="6">
        <v>413</v>
      </c>
      <c r="J14" s="6">
        <v>19</v>
      </c>
      <c r="K14" s="85">
        <f t="shared" si="0"/>
        <v>-34</v>
      </c>
      <c r="L14" s="25">
        <f t="shared" si="1"/>
        <v>-53</v>
      </c>
      <c r="M14" s="22">
        <f t="shared" si="2"/>
        <v>0.46732429099876693</v>
      </c>
      <c r="N14" s="22">
        <f t="shared" si="3"/>
        <v>0.50924784217016028</v>
      </c>
      <c r="O14" s="33">
        <f t="shared" si="4"/>
        <v>2.3427866831072751E-2</v>
      </c>
      <c r="P14" s="87">
        <f t="shared" si="5"/>
        <v>-4.1923551171393347E-2</v>
      </c>
      <c r="Q14" s="33">
        <f t="shared" si="6"/>
        <v>-6.5351418002466133E-2</v>
      </c>
    </row>
    <row r="15" spans="1:17" ht="18" customHeight="1" x14ac:dyDescent="0.4">
      <c r="A15" s="4" t="s">
        <v>24</v>
      </c>
      <c r="B15" s="4" t="s">
        <v>16</v>
      </c>
      <c r="C15" s="5">
        <v>3644</v>
      </c>
      <c r="D15" s="5">
        <v>1805</v>
      </c>
      <c r="E15" s="5">
        <v>1839</v>
      </c>
      <c r="F15" s="6">
        <v>30</v>
      </c>
      <c r="G15" s="5">
        <v>1809</v>
      </c>
      <c r="H15" s="6">
        <v>615</v>
      </c>
      <c r="I15" s="5">
        <v>1127</v>
      </c>
      <c r="J15" s="6">
        <v>67</v>
      </c>
      <c r="K15" s="85">
        <f t="shared" si="0"/>
        <v>-512</v>
      </c>
      <c r="L15" s="25">
        <f t="shared" si="1"/>
        <v>-579</v>
      </c>
      <c r="M15" s="22">
        <f t="shared" si="2"/>
        <v>0.33996683250414594</v>
      </c>
      <c r="N15" s="22">
        <f t="shared" si="3"/>
        <v>0.62299613045881708</v>
      </c>
      <c r="O15" s="33">
        <f t="shared" si="4"/>
        <v>3.7037037037037035E-2</v>
      </c>
      <c r="P15" s="87">
        <f t="shared" si="5"/>
        <v>-0.28302929795467113</v>
      </c>
      <c r="Q15" s="33">
        <f t="shared" si="6"/>
        <v>-0.32006633499170822</v>
      </c>
    </row>
    <row r="16" spans="1:17" s="29" customFormat="1" ht="18" customHeight="1" x14ac:dyDescent="0.4">
      <c r="A16" s="7" t="s">
        <v>25</v>
      </c>
      <c r="B16" s="7" t="s">
        <v>11</v>
      </c>
      <c r="C16" s="5">
        <v>2870</v>
      </c>
      <c r="D16" s="5">
        <v>1019</v>
      </c>
      <c r="E16" s="5">
        <v>1851</v>
      </c>
      <c r="F16" s="6">
        <v>52</v>
      </c>
      <c r="G16" s="8">
        <v>1799</v>
      </c>
      <c r="H16" s="10">
        <v>646</v>
      </c>
      <c r="I16" s="12">
        <v>1099</v>
      </c>
      <c r="J16" s="10">
        <v>54</v>
      </c>
      <c r="K16" s="83">
        <f t="shared" si="0"/>
        <v>-453</v>
      </c>
      <c r="L16" s="26">
        <f t="shared" si="1"/>
        <v>-507</v>
      </c>
      <c r="M16" s="19">
        <f t="shared" si="2"/>
        <v>0.35908838243468594</v>
      </c>
      <c r="N16" s="20">
        <f t="shared" si="3"/>
        <v>0.6108949416342413</v>
      </c>
      <c r="O16" s="32">
        <f t="shared" si="4"/>
        <v>3.0016675931072819E-2</v>
      </c>
      <c r="P16" s="84">
        <f t="shared" si="5"/>
        <v>-0.25180655919955536</v>
      </c>
      <c r="Q16" s="41">
        <f t="shared" si="6"/>
        <v>-0.28182323513062818</v>
      </c>
    </row>
    <row r="17" spans="1:17" ht="18" customHeight="1" x14ac:dyDescent="0.4">
      <c r="A17" s="4" t="s">
        <v>25</v>
      </c>
      <c r="B17" s="4" t="s">
        <v>15</v>
      </c>
      <c r="C17" s="6">
        <v>685</v>
      </c>
      <c r="D17" s="6">
        <v>3</v>
      </c>
      <c r="E17" s="6">
        <v>682</v>
      </c>
      <c r="F17" s="6">
        <v>24</v>
      </c>
      <c r="G17" s="6">
        <v>658</v>
      </c>
      <c r="H17" s="6">
        <v>307</v>
      </c>
      <c r="I17" s="6">
        <v>340</v>
      </c>
      <c r="J17" s="6">
        <v>11</v>
      </c>
      <c r="K17" s="85">
        <f t="shared" si="0"/>
        <v>-33</v>
      </c>
      <c r="L17" s="25">
        <f t="shared" si="1"/>
        <v>-44</v>
      </c>
      <c r="M17" s="22">
        <f t="shared" si="2"/>
        <v>0.46656534954407297</v>
      </c>
      <c r="N17" s="22">
        <f t="shared" si="3"/>
        <v>0.51671732522796354</v>
      </c>
      <c r="O17" s="33">
        <f t="shared" si="4"/>
        <v>1.6717325227963525E-2</v>
      </c>
      <c r="P17" s="87">
        <f t="shared" si="5"/>
        <v>-5.0151975683890571E-2</v>
      </c>
      <c r="Q17" s="33">
        <f t="shared" si="6"/>
        <v>-6.6869300911854113E-2</v>
      </c>
    </row>
    <row r="18" spans="1:17" ht="18" customHeight="1" x14ac:dyDescent="0.4">
      <c r="A18" s="4" t="s">
        <v>25</v>
      </c>
      <c r="B18" s="4" t="s">
        <v>16</v>
      </c>
      <c r="C18" s="5">
        <v>2185</v>
      </c>
      <c r="D18" s="5">
        <v>1016</v>
      </c>
      <c r="E18" s="5">
        <v>1169</v>
      </c>
      <c r="F18" s="6">
        <v>28</v>
      </c>
      <c r="G18" s="5">
        <v>1141</v>
      </c>
      <c r="H18" s="6">
        <v>339</v>
      </c>
      <c r="I18" s="6">
        <v>759</v>
      </c>
      <c r="J18" s="6">
        <v>43</v>
      </c>
      <c r="K18" s="85">
        <f t="shared" si="0"/>
        <v>-420</v>
      </c>
      <c r="L18" s="25">
        <f t="shared" si="1"/>
        <v>-463</v>
      </c>
      <c r="M18" s="22">
        <f t="shared" si="2"/>
        <v>0.29710780017528482</v>
      </c>
      <c r="N18" s="22">
        <f t="shared" si="3"/>
        <v>0.66520595968448726</v>
      </c>
      <c r="O18" s="33">
        <f t="shared" si="4"/>
        <v>3.7686240140227867E-2</v>
      </c>
      <c r="P18" s="87">
        <f t="shared" si="5"/>
        <v>-0.36809815950920244</v>
      </c>
      <c r="Q18" s="33">
        <f t="shared" si="6"/>
        <v>-0.40578439964943025</v>
      </c>
    </row>
    <row r="19" spans="1:17" s="29" customFormat="1" ht="18" customHeight="1" x14ac:dyDescent="0.4">
      <c r="A19" s="7" t="s">
        <v>26</v>
      </c>
      <c r="B19" s="7" t="s">
        <v>11</v>
      </c>
      <c r="C19" s="5">
        <v>6257</v>
      </c>
      <c r="D19" s="5">
        <v>2687</v>
      </c>
      <c r="E19" s="5">
        <v>3570</v>
      </c>
      <c r="F19" s="6">
        <v>77</v>
      </c>
      <c r="G19" s="8">
        <v>3493</v>
      </c>
      <c r="H19" s="8">
        <v>1687</v>
      </c>
      <c r="I19" s="12">
        <v>1708</v>
      </c>
      <c r="J19" s="10">
        <v>98</v>
      </c>
      <c r="K19" s="83">
        <f t="shared" si="0"/>
        <v>-21</v>
      </c>
      <c r="L19" s="26">
        <f t="shared" si="1"/>
        <v>-119</v>
      </c>
      <c r="M19" s="19">
        <f t="shared" si="2"/>
        <v>0.48296593186372744</v>
      </c>
      <c r="N19" s="20">
        <f t="shared" si="3"/>
        <v>0.48897795591182364</v>
      </c>
      <c r="O19" s="32">
        <f t="shared" si="4"/>
        <v>2.8056112224448898E-2</v>
      </c>
      <c r="P19" s="84">
        <f t="shared" si="5"/>
        <v>-6.0120240480961984E-3</v>
      </c>
      <c r="Q19" s="41">
        <f t="shared" si="6"/>
        <v>-3.4068136272545069E-2</v>
      </c>
    </row>
    <row r="20" spans="1:17" ht="18" customHeight="1" x14ac:dyDescent="0.4">
      <c r="A20" s="4" t="s">
        <v>26</v>
      </c>
      <c r="B20" s="4" t="s">
        <v>15</v>
      </c>
      <c r="C20" s="5">
        <v>1092</v>
      </c>
      <c r="D20" s="6">
        <v>3</v>
      </c>
      <c r="E20" s="5">
        <v>1089</v>
      </c>
      <c r="F20" s="6">
        <v>32</v>
      </c>
      <c r="G20" s="5">
        <v>1057</v>
      </c>
      <c r="H20" s="6">
        <v>585</v>
      </c>
      <c r="I20" s="6">
        <v>450</v>
      </c>
      <c r="J20" s="6">
        <v>22</v>
      </c>
      <c r="K20" s="85">
        <f t="shared" si="0"/>
        <v>135</v>
      </c>
      <c r="L20" s="25">
        <f t="shared" si="1"/>
        <v>113</v>
      </c>
      <c r="M20" s="22">
        <f t="shared" si="2"/>
        <v>0.55345316934720912</v>
      </c>
      <c r="N20" s="22">
        <f t="shared" si="3"/>
        <v>0.42573320719016083</v>
      </c>
      <c r="O20" s="33">
        <f t="shared" si="4"/>
        <v>2.0813623462630087E-2</v>
      </c>
      <c r="P20" s="87">
        <f t="shared" si="5"/>
        <v>0.12771996215704828</v>
      </c>
      <c r="Q20" s="33">
        <f t="shared" si="6"/>
        <v>0.10690633869441818</v>
      </c>
    </row>
    <row r="21" spans="1:17" ht="18" customHeight="1" x14ac:dyDescent="0.4">
      <c r="A21" s="4" t="s">
        <v>26</v>
      </c>
      <c r="B21" s="4" t="s">
        <v>16</v>
      </c>
      <c r="C21" s="5">
        <v>5165</v>
      </c>
      <c r="D21" s="5">
        <v>2684</v>
      </c>
      <c r="E21" s="5">
        <v>2481</v>
      </c>
      <c r="F21" s="6">
        <v>45</v>
      </c>
      <c r="G21" s="5">
        <v>2436</v>
      </c>
      <c r="H21" s="5">
        <v>1102</v>
      </c>
      <c r="I21" s="5">
        <v>1258</v>
      </c>
      <c r="J21" s="6">
        <v>76</v>
      </c>
      <c r="K21" s="85">
        <f t="shared" si="0"/>
        <v>-156</v>
      </c>
      <c r="L21" s="25">
        <f t="shared" si="1"/>
        <v>-232</v>
      </c>
      <c r="M21" s="22">
        <f t="shared" si="2"/>
        <v>0.45238095238095238</v>
      </c>
      <c r="N21" s="22">
        <f t="shared" si="3"/>
        <v>0.51642036124794743</v>
      </c>
      <c r="O21" s="33">
        <f t="shared" si="4"/>
        <v>3.1198686371100164E-2</v>
      </c>
      <c r="P21" s="87">
        <f t="shared" si="5"/>
        <v>-6.4039408866995051E-2</v>
      </c>
      <c r="Q21" s="33">
        <f t="shared" si="6"/>
        <v>-9.5238095238095177E-2</v>
      </c>
    </row>
    <row r="22" spans="1:17" s="29" customFormat="1" ht="18" customHeight="1" x14ac:dyDescent="0.4">
      <c r="A22" s="7" t="s">
        <v>27</v>
      </c>
      <c r="B22" s="7" t="s">
        <v>11</v>
      </c>
      <c r="C22" s="5">
        <v>12092</v>
      </c>
      <c r="D22" s="5">
        <v>5526</v>
      </c>
      <c r="E22" s="5">
        <v>6566</v>
      </c>
      <c r="F22" s="6">
        <v>60</v>
      </c>
      <c r="G22" s="8">
        <v>6506</v>
      </c>
      <c r="H22" s="9">
        <v>3658</v>
      </c>
      <c r="I22" s="8">
        <v>2672</v>
      </c>
      <c r="J22" s="10">
        <v>176</v>
      </c>
      <c r="K22" s="81">
        <f t="shared" si="0"/>
        <v>986</v>
      </c>
      <c r="L22" s="24">
        <f t="shared" si="1"/>
        <v>810</v>
      </c>
      <c r="M22" s="18">
        <f t="shared" si="2"/>
        <v>0.56225023055640944</v>
      </c>
      <c r="N22" s="19">
        <f t="shared" si="3"/>
        <v>0.41069781739932371</v>
      </c>
      <c r="O22" s="32">
        <f t="shared" si="4"/>
        <v>2.705195204426683E-2</v>
      </c>
      <c r="P22" s="82">
        <f t="shared" si="5"/>
        <v>0.15155241315708573</v>
      </c>
      <c r="Q22" s="39">
        <f t="shared" si="6"/>
        <v>0.12450046111281887</v>
      </c>
    </row>
    <row r="23" spans="1:17" ht="18" customHeight="1" x14ac:dyDescent="0.4">
      <c r="A23" s="4" t="s">
        <v>27</v>
      </c>
      <c r="B23" s="4" t="s">
        <v>15</v>
      </c>
      <c r="C23" s="5">
        <v>2354</v>
      </c>
      <c r="D23" s="6">
        <v>2</v>
      </c>
      <c r="E23" s="5">
        <v>2352</v>
      </c>
      <c r="F23" s="6">
        <v>20</v>
      </c>
      <c r="G23" s="5">
        <v>2332</v>
      </c>
      <c r="H23" s="5">
        <v>1607</v>
      </c>
      <c r="I23" s="6">
        <v>682</v>
      </c>
      <c r="J23" s="6">
        <v>43</v>
      </c>
      <c r="K23" s="85">
        <f t="shared" si="0"/>
        <v>925</v>
      </c>
      <c r="L23" s="25">
        <f t="shared" si="1"/>
        <v>882</v>
      </c>
      <c r="M23" s="22">
        <f t="shared" si="2"/>
        <v>0.68910806174957118</v>
      </c>
      <c r="N23" s="22">
        <f t="shared" si="3"/>
        <v>0.29245283018867924</v>
      </c>
      <c r="O23" s="33">
        <f t="shared" si="4"/>
        <v>1.843910806174957E-2</v>
      </c>
      <c r="P23" s="87">
        <f t="shared" si="5"/>
        <v>0.39665523156089194</v>
      </c>
      <c r="Q23" s="33">
        <f t="shared" si="6"/>
        <v>0.37821612349914235</v>
      </c>
    </row>
    <row r="24" spans="1:17" ht="18" customHeight="1" x14ac:dyDescent="0.4">
      <c r="A24" s="4" t="s">
        <v>27</v>
      </c>
      <c r="B24" s="4" t="s">
        <v>16</v>
      </c>
      <c r="C24" s="5">
        <v>9738</v>
      </c>
      <c r="D24" s="5">
        <v>5524</v>
      </c>
      <c r="E24" s="5">
        <v>4214</v>
      </c>
      <c r="F24" s="6">
        <v>40</v>
      </c>
      <c r="G24" s="5">
        <v>4174</v>
      </c>
      <c r="H24" s="5">
        <v>2051</v>
      </c>
      <c r="I24" s="5">
        <v>1990</v>
      </c>
      <c r="J24" s="6">
        <v>133</v>
      </c>
      <c r="K24" s="85">
        <f t="shared" si="0"/>
        <v>61</v>
      </c>
      <c r="L24" s="25">
        <f t="shared" si="1"/>
        <v>-72</v>
      </c>
      <c r="M24" s="22">
        <f t="shared" si="2"/>
        <v>0.4913751796837566</v>
      </c>
      <c r="N24" s="22">
        <f t="shared" si="3"/>
        <v>0.47676090081456635</v>
      </c>
      <c r="O24" s="33">
        <f t="shared" si="4"/>
        <v>3.1863919501677052E-2</v>
      </c>
      <c r="P24" s="87">
        <f t="shared" si="5"/>
        <v>1.4614278869190256E-2</v>
      </c>
      <c r="Q24" s="33">
        <f t="shared" si="6"/>
        <v>-1.724964063248674E-2</v>
      </c>
    </row>
    <row r="25" spans="1:17" s="29" customFormat="1" ht="18" customHeight="1" x14ac:dyDescent="0.4">
      <c r="A25" s="7" t="s">
        <v>28</v>
      </c>
      <c r="B25" s="7" t="s">
        <v>11</v>
      </c>
      <c r="C25" s="5">
        <v>7569</v>
      </c>
      <c r="D25" s="5">
        <v>3279</v>
      </c>
      <c r="E25" s="5">
        <v>4290</v>
      </c>
      <c r="F25" s="6">
        <v>94</v>
      </c>
      <c r="G25" s="8">
        <v>4196</v>
      </c>
      <c r="H25" s="8">
        <v>1760</v>
      </c>
      <c r="I25" s="12">
        <v>2361</v>
      </c>
      <c r="J25" s="10">
        <v>75</v>
      </c>
      <c r="K25" s="83">
        <f t="shared" si="0"/>
        <v>-601</v>
      </c>
      <c r="L25" s="26">
        <f t="shared" si="1"/>
        <v>-676</v>
      </c>
      <c r="M25" s="19">
        <f t="shared" si="2"/>
        <v>0.41944709246901812</v>
      </c>
      <c r="N25" s="20">
        <f t="shared" si="3"/>
        <v>0.56267874165872256</v>
      </c>
      <c r="O25" s="32">
        <f t="shared" si="4"/>
        <v>1.7874165872259293E-2</v>
      </c>
      <c r="P25" s="84">
        <f t="shared" si="5"/>
        <v>-0.14323164918970444</v>
      </c>
      <c r="Q25" s="41">
        <f t="shared" si="6"/>
        <v>-0.16110581506196375</v>
      </c>
    </row>
    <row r="26" spans="1:17" ht="18" customHeight="1" x14ac:dyDescent="0.4">
      <c r="A26" s="4" t="s">
        <v>28</v>
      </c>
      <c r="B26" s="4" t="s">
        <v>15</v>
      </c>
      <c r="C26" s="5">
        <v>1117</v>
      </c>
      <c r="D26" s="6">
        <v>4</v>
      </c>
      <c r="E26" s="5">
        <v>1113</v>
      </c>
      <c r="F26" s="6">
        <v>38</v>
      </c>
      <c r="G26" s="5">
        <v>1075</v>
      </c>
      <c r="H26" s="6">
        <v>609</v>
      </c>
      <c r="I26" s="6">
        <v>445</v>
      </c>
      <c r="J26" s="6">
        <v>21</v>
      </c>
      <c r="K26" s="85">
        <f t="shared" si="0"/>
        <v>164</v>
      </c>
      <c r="L26" s="25">
        <f t="shared" si="1"/>
        <v>143</v>
      </c>
      <c r="M26" s="22">
        <f t="shared" si="2"/>
        <v>0.56651162790697673</v>
      </c>
      <c r="N26" s="22">
        <f t="shared" si="3"/>
        <v>0.413953488372093</v>
      </c>
      <c r="O26" s="33">
        <f t="shared" si="4"/>
        <v>1.9534883720930232E-2</v>
      </c>
      <c r="P26" s="87">
        <f t="shared" si="5"/>
        <v>0.15255813953488373</v>
      </c>
      <c r="Q26" s="33">
        <f t="shared" si="6"/>
        <v>0.13302325581395352</v>
      </c>
    </row>
    <row r="27" spans="1:17" ht="18" customHeight="1" x14ac:dyDescent="0.4">
      <c r="A27" s="4" t="s">
        <v>28</v>
      </c>
      <c r="B27" s="4" t="s">
        <v>16</v>
      </c>
      <c r="C27" s="5">
        <v>6452</v>
      </c>
      <c r="D27" s="5">
        <v>3275</v>
      </c>
      <c r="E27" s="5">
        <v>3177</v>
      </c>
      <c r="F27" s="6">
        <v>56</v>
      </c>
      <c r="G27" s="5">
        <v>3121</v>
      </c>
      <c r="H27" s="5">
        <v>1151</v>
      </c>
      <c r="I27" s="5">
        <v>1916</v>
      </c>
      <c r="J27" s="6">
        <v>54</v>
      </c>
      <c r="K27" s="85">
        <f t="shared" si="0"/>
        <v>-765</v>
      </c>
      <c r="L27" s="25">
        <f t="shared" si="1"/>
        <v>-819</v>
      </c>
      <c r="M27" s="22">
        <f t="shared" si="2"/>
        <v>0.36879205382890101</v>
      </c>
      <c r="N27" s="22">
        <f t="shared" si="3"/>
        <v>0.61390579942326173</v>
      </c>
      <c r="O27" s="33">
        <f t="shared" si="4"/>
        <v>1.7302146747837231E-2</v>
      </c>
      <c r="P27" s="87">
        <f t="shared" si="5"/>
        <v>-0.24511374559436072</v>
      </c>
      <c r="Q27" s="33">
        <f t="shared" si="6"/>
        <v>-0.26241589234219798</v>
      </c>
    </row>
    <row r="28" spans="1:17" s="29" customFormat="1" ht="18" customHeight="1" x14ac:dyDescent="0.4">
      <c r="A28" s="7" t="s">
        <v>29</v>
      </c>
      <c r="B28" s="7" t="s">
        <v>11</v>
      </c>
      <c r="C28" s="5">
        <v>4342</v>
      </c>
      <c r="D28" s="5">
        <v>1589</v>
      </c>
      <c r="E28" s="5">
        <v>2753</v>
      </c>
      <c r="F28" s="6">
        <v>57</v>
      </c>
      <c r="G28" s="8">
        <v>2696</v>
      </c>
      <c r="H28" s="8">
        <v>1045</v>
      </c>
      <c r="I28" s="12">
        <v>1589</v>
      </c>
      <c r="J28" s="10">
        <v>62</v>
      </c>
      <c r="K28" s="83">
        <f t="shared" si="0"/>
        <v>-544</v>
      </c>
      <c r="L28" s="26">
        <f t="shared" si="1"/>
        <v>-606</v>
      </c>
      <c r="M28" s="19">
        <f t="shared" si="2"/>
        <v>0.38761127596439171</v>
      </c>
      <c r="N28" s="20">
        <f t="shared" si="3"/>
        <v>0.58939169139465875</v>
      </c>
      <c r="O28" s="32">
        <f t="shared" si="4"/>
        <v>2.2997032640949554E-2</v>
      </c>
      <c r="P28" s="84">
        <f t="shared" si="5"/>
        <v>-0.20178041543026703</v>
      </c>
      <c r="Q28" s="41">
        <f t="shared" si="6"/>
        <v>-0.22477744807121658</v>
      </c>
    </row>
    <row r="29" spans="1:17" ht="18" customHeight="1" x14ac:dyDescent="0.4">
      <c r="A29" s="4" t="s">
        <v>29</v>
      </c>
      <c r="B29" s="4" t="s">
        <v>15</v>
      </c>
      <c r="C29" s="6">
        <v>934</v>
      </c>
      <c r="D29" s="6">
        <v>2</v>
      </c>
      <c r="E29" s="6">
        <v>932</v>
      </c>
      <c r="F29" s="6">
        <v>31</v>
      </c>
      <c r="G29" s="6">
        <v>901</v>
      </c>
      <c r="H29" s="6">
        <v>466</v>
      </c>
      <c r="I29" s="6">
        <v>412</v>
      </c>
      <c r="J29" s="6">
        <v>23</v>
      </c>
      <c r="K29" s="85">
        <f t="shared" si="0"/>
        <v>54</v>
      </c>
      <c r="L29" s="25">
        <f t="shared" si="1"/>
        <v>31</v>
      </c>
      <c r="M29" s="22">
        <f t="shared" si="2"/>
        <v>0.51720310765815758</v>
      </c>
      <c r="N29" s="22">
        <f t="shared" si="3"/>
        <v>0.45726970033296338</v>
      </c>
      <c r="O29" s="33">
        <f t="shared" si="4"/>
        <v>2.5527192008879023E-2</v>
      </c>
      <c r="P29" s="87">
        <f t="shared" si="5"/>
        <v>5.9933407325194199E-2</v>
      </c>
      <c r="Q29" s="33">
        <f t="shared" si="6"/>
        <v>3.4406215316315159E-2</v>
      </c>
    </row>
    <row r="30" spans="1:17" ht="18" customHeight="1" x14ac:dyDescent="0.4">
      <c r="A30" s="4" t="s">
        <v>29</v>
      </c>
      <c r="B30" s="4" t="s">
        <v>16</v>
      </c>
      <c r="C30" s="5">
        <v>3408</v>
      </c>
      <c r="D30" s="5">
        <v>1587</v>
      </c>
      <c r="E30" s="5">
        <v>1821</v>
      </c>
      <c r="F30" s="6">
        <v>26</v>
      </c>
      <c r="G30" s="5">
        <v>1795</v>
      </c>
      <c r="H30" s="6">
        <v>579</v>
      </c>
      <c r="I30" s="5">
        <v>1177</v>
      </c>
      <c r="J30" s="6">
        <v>39</v>
      </c>
      <c r="K30" s="85">
        <f t="shared" si="0"/>
        <v>-598</v>
      </c>
      <c r="L30" s="25">
        <f t="shared" si="1"/>
        <v>-637</v>
      </c>
      <c r="M30" s="22">
        <f t="shared" si="2"/>
        <v>0.32256267409470751</v>
      </c>
      <c r="N30" s="22">
        <f t="shared" si="3"/>
        <v>0.65571030640668526</v>
      </c>
      <c r="O30" s="33">
        <f t="shared" si="4"/>
        <v>2.1727019498607242E-2</v>
      </c>
      <c r="P30" s="87">
        <f t="shared" si="5"/>
        <v>-0.33314763231197775</v>
      </c>
      <c r="Q30" s="33">
        <f t="shared" si="6"/>
        <v>-0.35487465181058497</v>
      </c>
    </row>
    <row r="31" spans="1:17" s="29" customFormat="1" ht="18" customHeight="1" x14ac:dyDescent="0.4">
      <c r="A31" s="7" t="s">
        <v>30</v>
      </c>
      <c r="B31" s="7" t="s">
        <v>11</v>
      </c>
      <c r="C31" s="5">
        <v>6526</v>
      </c>
      <c r="D31" s="5">
        <v>2705</v>
      </c>
      <c r="E31" s="5">
        <v>3821</v>
      </c>
      <c r="F31" s="6">
        <v>86</v>
      </c>
      <c r="G31" s="8">
        <v>3735</v>
      </c>
      <c r="H31" s="8">
        <v>1213</v>
      </c>
      <c r="I31" s="12">
        <v>2450</v>
      </c>
      <c r="J31" s="10">
        <v>72</v>
      </c>
      <c r="K31" s="83">
        <f t="shared" si="0"/>
        <v>-1237</v>
      </c>
      <c r="L31" s="26">
        <f t="shared" si="1"/>
        <v>-1309</v>
      </c>
      <c r="M31" s="19">
        <f t="shared" si="2"/>
        <v>0.32476572958500671</v>
      </c>
      <c r="N31" s="20">
        <f t="shared" si="3"/>
        <v>0.65595716198125842</v>
      </c>
      <c r="O31" s="32">
        <f t="shared" si="4"/>
        <v>1.9277108433734941E-2</v>
      </c>
      <c r="P31" s="84">
        <f t="shared" si="5"/>
        <v>-0.33119143239625171</v>
      </c>
      <c r="Q31" s="41">
        <f t="shared" si="6"/>
        <v>-0.35046854082998669</v>
      </c>
    </row>
    <row r="32" spans="1:17" ht="18" customHeight="1" x14ac:dyDescent="0.4">
      <c r="A32" s="4" t="s">
        <v>30</v>
      </c>
      <c r="B32" s="4" t="s">
        <v>15</v>
      </c>
      <c r="C32" s="5">
        <v>1509</v>
      </c>
      <c r="D32" s="6">
        <v>2</v>
      </c>
      <c r="E32" s="5">
        <v>1507</v>
      </c>
      <c r="F32" s="6">
        <v>38</v>
      </c>
      <c r="G32" s="5">
        <v>1469</v>
      </c>
      <c r="H32" s="6">
        <v>670</v>
      </c>
      <c r="I32" s="6">
        <v>765</v>
      </c>
      <c r="J32" s="6">
        <v>34</v>
      </c>
      <c r="K32" s="85">
        <f t="shared" si="0"/>
        <v>-95</v>
      </c>
      <c r="L32" s="25">
        <f t="shared" si="1"/>
        <v>-129</v>
      </c>
      <c r="M32" s="22">
        <f t="shared" si="2"/>
        <v>0.4560925799863853</v>
      </c>
      <c r="N32" s="22">
        <f t="shared" si="3"/>
        <v>0.52076242341729062</v>
      </c>
      <c r="O32" s="33">
        <f t="shared" si="4"/>
        <v>2.3144996596324029E-2</v>
      </c>
      <c r="P32" s="87">
        <f t="shared" si="5"/>
        <v>-6.4669843430905316E-2</v>
      </c>
      <c r="Q32" s="33">
        <f t="shared" si="6"/>
        <v>-8.7814840027229391E-2</v>
      </c>
    </row>
    <row r="33" spans="1:17" ht="18" customHeight="1" x14ac:dyDescent="0.4">
      <c r="A33" s="4" t="s">
        <v>30</v>
      </c>
      <c r="B33" s="4" t="s">
        <v>16</v>
      </c>
      <c r="C33" s="5">
        <v>5017</v>
      </c>
      <c r="D33" s="5">
        <v>2703</v>
      </c>
      <c r="E33" s="5">
        <v>2314</v>
      </c>
      <c r="F33" s="6">
        <v>48</v>
      </c>
      <c r="G33" s="5">
        <v>2266</v>
      </c>
      <c r="H33" s="6">
        <v>543</v>
      </c>
      <c r="I33" s="5">
        <v>1685</v>
      </c>
      <c r="J33" s="6">
        <v>38</v>
      </c>
      <c r="K33" s="85">
        <f t="shared" si="0"/>
        <v>-1142</v>
      </c>
      <c r="L33" s="25">
        <f t="shared" si="1"/>
        <v>-1180</v>
      </c>
      <c r="M33" s="22">
        <f t="shared" si="2"/>
        <v>0.23962930273609886</v>
      </c>
      <c r="N33" s="22">
        <f t="shared" si="3"/>
        <v>0.74360105913503971</v>
      </c>
      <c r="O33" s="33">
        <f t="shared" si="4"/>
        <v>1.6769638128861428E-2</v>
      </c>
      <c r="P33" s="87">
        <f t="shared" si="5"/>
        <v>-0.50397175639894087</v>
      </c>
      <c r="Q33" s="33">
        <f t="shared" si="6"/>
        <v>-0.52074139452780233</v>
      </c>
    </row>
    <row r="34" spans="1:17" s="29" customFormat="1" ht="18" customHeight="1" x14ac:dyDescent="0.4">
      <c r="A34" s="7" t="s">
        <v>31</v>
      </c>
      <c r="B34" s="7" t="s">
        <v>11</v>
      </c>
      <c r="C34" s="5">
        <v>4488</v>
      </c>
      <c r="D34" s="5">
        <v>2090</v>
      </c>
      <c r="E34" s="5">
        <v>2398</v>
      </c>
      <c r="F34" s="6">
        <v>58</v>
      </c>
      <c r="G34" s="8">
        <v>2340</v>
      </c>
      <c r="H34" s="10">
        <v>900</v>
      </c>
      <c r="I34" s="12">
        <v>1368</v>
      </c>
      <c r="J34" s="10">
        <v>72</v>
      </c>
      <c r="K34" s="83">
        <f t="shared" si="0"/>
        <v>-468</v>
      </c>
      <c r="L34" s="26">
        <f t="shared" si="1"/>
        <v>-540</v>
      </c>
      <c r="M34" s="19">
        <f t="shared" si="2"/>
        <v>0.38461538461538464</v>
      </c>
      <c r="N34" s="20">
        <f t="shared" si="3"/>
        <v>0.58461538461538465</v>
      </c>
      <c r="O34" s="32">
        <f t="shared" si="4"/>
        <v>3.0769230769230771E-2</v>
      </c>
      <c r="P34" s="84">
        <f t="shared" si="5"/>
        <v>-0.2</v>
      </c>
      <c r="Q34" s="41">
        <f t="shared" si="6"/>
        <v>-0.23076923076923078</v>
      </c>
    </row>
    <row r="35" spans="1:17" ht="18" customHeight="1" x14ac:dyDescent="0.4">
      <c r="A35" s="4" t="s">
        <v>31</v>
      </c>
      <c r="B35" s="4" t="s">
        <v>15</v>
      </c>
      <c r="C35" s="6">
        <v>611</v>
      </c>
      <c r="D35" s="6">
        <v>0</v>
      </c>
      <c r="E35" s="6">
        <v>611</v>
      </c>
      <c r="F35" s="6">
        <v>23</v>
      </c>
      <c r="G35" s="6">
        <v>588</v>
      </c>
      <c r="H35" s="6">
        <v>308</v>
      </c>
      <c r="I35" s="6">
        <v>261</v>
      </c>
      <c r="J35" s="6">
        <v>19</v>
      </c>
      <c r="K35" s="85">
        <f t="shared" si="0"/>
        <v>47</v>
      </c>
      <c r="L35" s="25">
        <f t="shared" si="1"/>
        <v>28</v>
      </c>
      <c r="M35" s="22">
        <f t="shared" si="2"/>
        <v>0.52380952380952384</v>
      </c>
      <c r="N35" s="22">
        <f t="shared" si="3"/>
        <v>0.44387755102040816</v>
      </c>
      <c r="O35" s="33">
        <f t="shared" si="4"/>
        <v>3.2312925170068028E-2</v>
      </c>
      <c r="P35" s="87">
        <f t="shared" si="5"/>
        <v>7.9931972789115679E-2</v>
      </c>
      <c r="Q35" s="33">
        <f t="shared" si="6"/>
        <v>4.7619047619047672E-2</v>
      </c>
    </row>
    <row r="36" spans="1:17" ht="18" customHeight="1" x14ac:dyDescent="0.4">
      <c r="A36" s="4" t="s">
        <v>31</v>
      </c>
      <c r="B36" s="4" t="s">
        <v>16</v>
      </c>
      <c r="C36" s="5">
        <v>3877</v>
      </c>
      <c r="D36" s="5">
        <v>2090</v>
      </c>
      <c r="E36" s="5">
        <v>1787</v>
      </c>
      <c r="F36" s="6">
        <v>35</v>
      </c>
      <c r="G36" s="5">
        <v>1752</v>
      </c>
      <c r="H36" s="6">
        <v>592</v>
      </c>
      <c r="I36" s="5">
        <v>1107</v>
      </c>
      <c r="J36" s="6">
        <v>53</v>
      </c>
      <c r="K36" s="85">
        <f t="shared" si="0"/>
        <v>-515</v>
      </c>
      <c r="L36" s="25">
        <f t="shared" si="1"/>
        <v>-568</v>
      </c>
      <c r="M36" s="22">
        <f t="shared" si="2"/>
        <v>0.33789954337899542</v>
      </c>
      <c r="N36" s="22">
        <f t="shared" si="3"/>
        <v>0.63184931506849318</v>
      </c>
      <c r="O36" s="33">
        <f t="shared" si="4"/>
        <v>3.0251141552511414E-2</v>
      </c>
      <c r="P36" s="87">
        <f t="shared" si="5"/>
        <v>-0.29394977168949776</v>
      </c>
      <c r="Q36" s="33">
        <f t="shared" si="6"/>
        <v>-0.32420091324200917</v>
      </c>
    </row>
    <row r="37" spans="1:17" s="29" customFormat="1" ht="18" customHeight="1" x14ac:dyDescent="0.4">
      <c r="A37" s="7" t="s">
        <v>32</v>
      </c>
      <c r="B37" s="7" t="s">
        <v>11</v>
      </c>
      <c r="C37" s="5">
        <v>14333</v>
      </c>
      <c r="D37" s="5">
        <v>6417</v>
      </c>
      <c r="E37" s="5">
        <v>7916</v>
      </c>
      <c r="F37" s="6">
        <v>83</v>
      </c>
      <c r="G37" s="8">
        <v>7833</v>
      </c>
      <c r="H37" s="8">
        <v>3601</v>
      </c>
      <c r="I37" s="12">
        <v>4005</v>
      </c>
      <c r="J37" s="10">
        <v>227</v>
      </c>
      <c r="K37" s="83">
        <f t="shared" si="0"/>
        <v>-404</v>
      </c>
      <c r="L37" s="26">
        <f t="shared" si="1"/>
        <v>-631</v>
      </c>
      <c r="M37" s="19">
        <f t="shared" si="2"/>
        <v>0.45972169028469295</v>
      </c>
      <c r="N37" s="20">
        <f t="shared" si="3"/>
        <v>0.51129835312140948</v>
      </c>
      <c r="O37" s="32">
        <f t="shared" si="4"/>
        <v>2.8979956593897613E-2</v>
      </c>
      <c r="P37" s="84">
        <f t="shared" si="5"/>
        <v>-5.1576662836716525E-2</v>
      </c>
      <c r="Q37" s="41">
        <f t="shared" si="6"/>
        <v>-8.0556619430614151E-2</v>
      </c>
    </row>
    <row r="38" spans="1:17" ht="18" customHeight="1" x14ac:dyDescent="0.4">
      <c r="A38" s="4" t="s">
        <v>32</v>
      </c>
      <c r="B38" s="4" t="s">
        <v>15</v>
      </c>
      <c r="C38" s="5">
        <v>2507</v>
      </c>
      <c r="D38" s="6">
        <v>3</v>
      </c>
      <c r="E38" s="5">
        <v>2504</v>
      </c>
      <c r="F38" s="6">
        <v>25</v>
      </c>
      <c r="G38" s="5">
        <v>2479</v>
      </c>
      <c r="H38" s="5">
        <v>1540</v>
      </c>
      <c r="I38" s="6">
        <v>893</v>
      </c>
      <c r="J38" s="6">
        <v>46</v>
      </c>
      <c r="K38" s="85">
        <f t="shared" si="0"/>
        <v>647</v>
      </c>
      <c r="L38" s="25">
        <f t="shared" si="1"/>
        <v>601</v>
      </c>
      <c r="M38" s="22">
        <f t="shared" si="2"/>
        <v>0.62121823315853164</v>
      </c>
      <c r="N38" s="22">
        <f t="shared" si="3"/>
        <v>0.36022589753933038</v>
      </c>
      <c r="O38" s="33">
        <f t="shared" si="4"/>
        <v>1.855586930213796E-2</v>
      </c>
      <c r="P38" s="87">
        <f t="shared" si="5"/>
        <v>0.26099233561920127</v>
      </c>
      <c r="Q38" s="33">
        <f t="shared" si="6"/>
        <v>0.24243646631706328</v>
      </c>
    </row>
    <row r="39" spans="1:17" ht="18" customHeight="1" x14ac:dyDescent="0.4">
      <c r="A39" s="4" t="s">
        <v>32</v>
      </c>
      <c r="B39" s="4" t="s">
        <v>16</v>
      </c>
      <c r="C39" s="5">
        <v>11826</v>
      </c>
      <c r="D39" s="5">
        <v>6414</v>
      </c>
      <c r="E39" s="5">
        <v>5412</v>
      </c>
      <c r="F39" s="6">
        <v>58</v>
      </c>
      <c r="G39" s="5">
        <v>5354</v>
      </c>
      <c r="H39" s="5">
        <v>2061</v>
      </c>
      <c r="I39" s="5">
        <v>3112</v>
      </c>
      <c r="J39" s="6">
        <v>181</v>
      </c>
      <c r="K39" s="85">
        <f t="shared" si="0"/>
        <v>-1051</v>
      </c>
      <c r="L39" s="25">
        <f t="shared" si="1"/>
        <v>-1232</v>
      </c>
      <c r="M39" s="22">
        <f t="shared" si="2"/>
        <v>0.384945834889802</v>
      </c>
      <c r="N39" s="22">
        <f t="shared" si="3"/>
        <v>0.58124766529697425</v>
      </c>
      <c r="O39" s="33">
        <f t="shared" si="4"/>
        <v>3.3806499813223756E-2</v>
      </c>
      <c r="P39" s="87">
        <f t="shared" si="5"/>
        <v>-0.19630183040717225</v>
      </c>
      <c r="Q39" s="33">
        <f t="shared" si="6"/>
        <v>-0.23010833022039595</v>
      </c>
    </row>
    <row r="40" spans="1:17" s="29" customFormat="1" ht="18" customHeight="1" x14ac:dyDescent="0.4">
      <c r="A40" s="7" t="s">
        <v>33</v>
      </c>
      <c r="B40" s="7" t="s">
        <v>11</v>
      </c>
      <c r="C40" s="5">
        <v>13425</v>
      </c>
      <c r="D40" s="5">
        <v>5786</v>
      </c>
      <c r="E40" s="5">
        <v>7639</v>
      </c>
      <c r="F40" s="6">
        <v>79</v>
      </c>
      <c r="G40" s="8">
        <v>7560</v>
      </c>
      <c r="H40" s="8">
        <v>3499</v>
      </c>
      <c r="I40" s="12">
        <v>3865</v>
      </c>
      <c r="J40" s="10">
        <v>196</v>
      </c>
      <c r="K40" s="83">
        <f t="shared" si="0"/>
        <v>-366</v>
      </c>
      <c r="L40" s="26">
        <f t="shared" si="1"/>
        <v>-562</v>
      </c>
      <c r="M40" s="19">
        <f t="shared" si="2"/>
        <v>0.46283068783068781</v>
      </c>
      <c r="N40" s="20">
        <f t="shared" si="3"/>
        <v>0.51124338624338628</v>
      </c>
      <c r="O40" s="32">
        <f t="shared" si="4"/>
        <v>2.5925925925925925E-2</v>
      </c>
      <c r="P40" s="84">
        <f t="shared" si="5"/>
        <v>-4.8412698412698463E-2</v>
      </c>
      <c r="Q40" s="41">
        <f t="shared" si="6"/>
        <v>-7.4338624338624371E-2</v>
      </c>
    </row>
    <row r="41" spans="1:17" ht="18" customHeight="1" x14ac:dyDescent="0.4">
      <c r="A41" s="4" t="s">
        <v>33</v>
      </c>
      <c r="B41" s="4" t="s">
        <v>15</v>
      </c>
      <c r="C41" s="5">
        <v>2727</v>
      </c>
      <c r="D41" s="6">
        <v>1</v>
      </c>
      <c r="E41" s="5">
        <v>2726</v>
      </c>
      <c r="F41" s="6">
        <v>30</v>
      </c>
      <c r="G41" s="5">
        <v>2696</v>
      </c>
      <c r="H41" s="5">
        <v>1612</v>
      </c>
      <c r="I41" s="5">
        <v>1025</v>
      </c>
      <c r="J41" s="6">
        <v>59</v>
      </c>
      <c r="K41" s="85">
        <f t="shared" si="0"/>
        <v>587</v>
      </c>
      <c r="L41" s="25">
        <f t="shared" si="1"/>
        <v>528</v>
      </c>
      <c r="M41" s="22">
        <f t="shared" si="2"/>
        <v>0.59792284866468848</v>
      </c>
      <c r="N41" s="22">
        <f t="shared" si="3"/>
        <v>0.38019287833827892</v>
      </c>
      <c r="O41" s="33">
        <f t="shared" si="4"/>
        <v>2.188427299703264E-2</v>
      </c>
      <c r="P41" s="87">
        <f t="shared" si="5"/>
        <v>0.21772997032640956</v>
      </c>
      <c r="Q41" s="33">
        <f t="shared" si="6"/>
        <v>0.1958456973293769</v>
      </c>
    </row>
    <row r="42" spans="1:17" ht="18" customHeight="1" x14ac:dyDescent="0.4">
      <c r="A42" s="4" t="s">
        <v>33</v>
      </c>
      <c r="B42" s="4" t="s">
        <v>16</v>
      </c>
      <c r="C42" s="5">
        <v>10698</v>
      </c>
      <c r="D42" s="5">
        <v>5785</v>
      </c>
      <c r="E42" s="5">
        <v>4913</v>
      </c>
      <c r="F42" s="6">
        <v>49</v>
      </c>
      <c r="G42" s="5">
        <v>4864</v>
      </c>
      <c r="H42" s="5">
        <v>1887</v>
      </c>
      <c r="I42" s="5">
        <v>2840</v>
      </c>
      <c r="J42" s="6">
        <v>137</v>
      </c>
      <c r="K42" s="85">
        <f t="shared" si="0"/>
        <v>-953</v>
      </c>
      <c r="L42" s="25">
        <f t="shared" si="1"/>
        <v>-1090</v>
      </c>
      <c r="M42" s="22">
        <f t="shared" si="2"/>
        <v>0.38795230263157893</v>
      </c>
      <c r="N42" s="22">
        <f t="shared" si="3"/>
        <v>0.58388157894736847</v>
      </c>
      <c r="O42" s="33">
        <f t="shared" si="4"/>
        <v>2.8166118421052631E-2</v>
      </c>
      <c r="P42" s="87">
        <f t="shared" si="5"/>
        <v>-0.19592927631578955</v>
      </c>
      <c r="Q42" s="33">
        <f t="shared" si="6"/>
        <v>-0.2240953947368422</v>
      </c>
    </row>
    <row r="43" spans="1:17" s="29" customFormat="1" ht="18" customHeight="1" x14ac:dyDescent="0.4">
      <c r="A43" s="7" t="s">
        <v>34</v>
      </c>
      <c r="B43" s="7" t="s">
        <v>11</v>
      </c>
      <c r="C43" s="5">
        <v>6768</v>
      </c>
      <c r="D43" s="5">
        <v>3070</v>
      </c>
      <c r="E43" s="5">
        <v>3698</v>
      </c>
      <c r="F43" s="6">
        <v>31</v>
      </c>
      <c r="G43" s="8">
        <v>3667</v>
      </c>
      <c r="H43" s="8">
        <v>1534</v>
      </c>
      <c r="I43" s="12">
        <v>2020</v>
      </c>
      <c r="J43" s="10">
        <v>113</v>
      </c>
      <c r="K43" s="83">
        <f t="shared" si="0"/>
        <v>-486</v>
      </c>
      <c r="L43" s="26">
        <f t="shared" si="1"/>
        <v>-599</v>
      </c>
      <c r="M43" s="19">
        <f t="shared" si="2"/>
        <v>0.41832560676302155</v>
      </c>
      <c r="N43" s="20">
        <f t="shared" si="3"/>
        <v>0.55085901281701666</v>
      </c>
      <c r="O43" s="32">
        <f t="shared" si="4"/>
        <v>3.0815380419961822E-2</v>
      </c>
      <c r="P43" s="84">
        <f t="shared" si="5"/>
        <v>-0.13253340605399511</v>
      </c>
      <c r="Q43" s="41">
        <f t="shared" si="6"/>
        <v>-0.1633487864739569</v>
      </c>
    </row>
    <row r="44" spans="1:17" ht="18" customHeight="1" x14ac:dyDescent="0.4">
      <c r="A44" s="4" t="s">
        <v>34</v>
      </c>
      <c r="B44" s="4" t="s">
        <v>15</v>
      </c>
      <c r="C44" s="5">
        <v>1068</v>
      </c>
      <c r="D44" s="6">
        <v>2</v>
      </c>
      <c r="E44" s="5">
        <v>1066</v>
      </c>
      <c r="F44" s="6">
        <v>9</v>
      </c>
      <c r="G44" s="5">
        <v>1057</v>
      </c>
      <c r="H44" s="6">
        <v>602</v>
      </c>
      <c r="I44" s="6">
        <v>431</v>
      </c>
      <c r="J44" s="6">
        <v>24</v>
      </c>
      <c r="K44" s="85">
        <f t="shared" si="0"/>
        <v>171</v>
      </c>
      <c r="L44" s="25">
        <f t="shared" si="1"/>
        <v>147</v>
      </c>
      <c r="M44" s="22">
        <f t="shared" si="2"/>
        <v>0.56953642384105962</v>
      </c>
      <c r="N44" s="22">
        <f t="shared" si="3"/>
        <v>0.4077578051087985</v>
      </c>
      <c r="O44" s="33">
        <f t="shared" si="4"/>
        <v>2.2705771050141911E-2</v>
      </c>
      <c r="P44" s="87">
        <f t="shared" si="5"/>
        <v>0.16177861873226113</v>
      </c>
      <c r="Q44" s="33">
        <f t="shared" si="6"/>
        <v>0.13907284768211919</v>
      </c>
    </row>
    <row r="45" spans="1:17" ht="18" customHeight="1" x14ac:dyDescent="0.4">
      <c r="A45" s="4" t="s">
        <v>34</v>
      </c>
      <c r="B45" s="4" t="s">
        <v>16</v>
      </c>
      <c r="C45" s="5">
        <v>5700</v>
      </c>
      <c r="D45" s="5">
        <v>3068</v>
      </c>
      <c r="E45" s="5">
        <v>2632</v>
      </c>
      <c r="F45" s="6">
        <v>22</v>
      </c>
      <c r="G45" s="5">
        <v>2610</v>
      </c>
      <c r="H45" s="6">
        <v>932</v>
      </c>
      <c r="I45" s="5">
        <v>1589</v>
      </c>
      <c r="J45" s="6">
        <v>89</v>
      </c>
      <c r="K45" s="85">
        <f t="shared" si="0"/>
        <v>-657</v>
      </c>
      <c r="L45" s="25">
        <f t="shared" si="1"/>
        <v>-746</v>
      </c>
      <c r="M45" s="22">
        <f t="shared" si="2"/>
        <v>0.35708812260536399</v>
      </c>
      <c r="N45" s="22">
        <f t="shared" si="3"/>
        <v>0.60881226053639848</v>
      </c>
      <c r="O45" s="33">
        <f t="shared" si="4"/>
        <v>3.409961685823755E-2</v>
      </c>
      <c r="P45" s="87">
        <f t="shared" si="5"/>
        <v>-0.25172413793103449</v>
      </c>
      <c r="Q45" s="33">
        <f t="shared" si="6"/>
        <v>-0.28582375478927208</v>
      </c>
    </row>
    <row r="46" spans="1:17" s="29" customFormat="1" ht="18" customHeight="1" x14ac:dyDescent="0.4">
      <c r="A46" s="7" t="s">
        <v>35</v>
      </c>
      <c r="B46" s="7" t="s">
        <v>11</v>
      </c>
      <c r="C46" s="5">
        <v>13312</v>
      </c>
      <c r="D46" s="5">
        <v>5757</v>
      </c>
      <c r="E46" s="5">
        <v>7555</v>
      </c>
      <c r="F46" s="6">
        <v>88</v>
      </c>
      <c r="G46" s="8">
        <v>7467</v>
      </c>
      <c r="H46" s="8">
        <v>3287</v>
      </c>
      <c r="I46" s="12">
        <v>3976</v>
      </c>
      <c r="J46" s="10">
        <v>204</v>
      </c>
      <c r="K46" s="83">
        <f t="shared" si="0"/>
        <v>-689</v>
      </c>
      <c r="L46" s="26">
        <f t="shared" si="1"/>
        <v>-893</v>
      </c>
      <c r="M46" s="19">
        <f t="shared" si="2"/>
        <v>0.44020356234096691</v>
      </c>
      <c r="N46" s="20">
        <f t="shared" si="3"/>
        <v>0.53247622873978839</v>
      </c>
      <c r="O46" s="32">
        <f t="shared" si="4"/>
        <v>2.7320208919244676E-2</v>
      </c>
      <c r="P46" s="84">
        <f t="shared" si="5"/>
        <v>-9.2272666398821479E-2</v>
      </c>
      <c r="Q46" s="41">
        <f t="shared" si="6"/>
        <v>-0.11959287531806617</v>
      </c>
    </row>
    <row r="47" spans="1:17" ht="18" customHeight="1" x14ac:dyDescent="0.4">
      <c r="A47" s="4" t="s">
        <v>35</v>
      </c>
      <c r="B47" s="4" t="s">
        <v>15</v>
      </c>
      <c r="C47" s="5">
        <v>2686</v>
      </c>
      <c r="D47" s="6">
        <v>2</v>
      </c>
      <c r="E47" s="5">
        <v>2684</v>
      </c>
      <c r="F47" s="6">
        <v>30</v>
      </c>
      <c r="G47" s="5">
        <v>2654</v>
      </c>
      <c r="H47" s="5">
        <v>1518</v>
      </c>
      <c r="I47" s="5">
        <v>1075</v>
      </c>
      <c r="J47" s="6">
        <v>61</v>
      </c>
      <c r="K47" s="85">
        <f t="shared" si="0"/>
        <v>443</v>
      </c>
      <c r="L47" s="25">
        <f t="shared" si="1"/>
        <v>382</v>
      </c>
      <c r="M47" s="22">
        <f t="shared" si="2"/>
        <v>0.5719668425018839</v>
      </c>
      <c r="N47" s="22">
        <f t="shared" si="3"/>
        <v>0.40504898266767142</v>
      </c>
      <c r="O47" s="33">
        <f t="shared" si="4"/>
        <v>2.2984174830444612E-2</v>
      </c>
      <c r="P47" s="87">
        <f t="shared" si="5"/>
        <v>0.16691785983421248</v>
      </c>
      <c r="Q47" s="33">
        <f t="shared" si="6"/>
        <v>0.14393368500376785</v>
      </c>
    </row>
    <row r="48" spans="1:17" ht="18" customHeight="1" x14ac:dyDescent="0.4">
      <c r="A48" s="4" t="s">
        <v>35</v>
      </c>
      <c r="B48" s="4" t="s">
        <v>16</v>
      </c>
      <c r="C48" s="5">
        <v>10626</v>
      </c>
      <c r="D48" s="5">
        <v>5755</v>
      </c>
      <c r="E48" s="5">
        <v>4871</v>
      </c>
      <c r="F48" s="6">
        <v>58</v>
      </c>
      <c r="G48" s="5">
        <v>4813</v>
      </c>
      <c r="H48" s="5">
        <v>1769</v>
      </c>
      <c r="I48" s="5">
        <v>2901</v>
      </c>
      <c r="J48" s="6">
        <v>143</v>
      </c>
      <c r="K48" s="85">
        <f t="shared" si="0"/>
        <v>-1132</v>
      </c>
      <c r="L48" s="25">
        <f t="shared" si="1"/>
        <v>-1275</v>
      </c>
      <c r="M48" s="22">
        <f t="shared" si="2"/>
        <v>0.36754622896322459</v>
      </c>
      <c r="N48" s="22">
        <f t="shared" si="3"/>
        <v>0.60274257220029093</v>
      </c>
      <c r="O48" s="33">
        <f t="shared" si="4"/>
        <v>2.9711198836484522E-2</v>
      </c>
      <c r="P48" s="87">
        <f t="shared" si="5"/>
        <v>-0.23519634323706634</v>
      </c>
      <c r="Q48" s="33">
        <f t="shared" si="6"/>
        <v>-0.26490754207355088</v>
      </c>
    </row>
    <row r="49" spans="1:17" s="29" customFormat="1" ht="18" customHeight="1" x14ac:dyDescent="0.4">
      <c r="A49" s="7" t="s">
        <v>36</v>
      </c>
      <c r="B49" s="7" t="s">
        <v>11</v>
      </c>
      <c r="C49" s="5">
        <v>25327</v>
      </c>
      <c r="D49" s="5">
        <v>10996</v>
      </c>
      <c r="E49" s="5">
        <v>14331</v>
      </c>
      <c r="F49" s="6">
        <v>106</v>
      </c>
      <c r="G49" s="8">
        <v>14225</v>
      </c>
      <c r="H49" s="9">
        <v>6936</v>
      </c>
      <c r="I49" s="12">
        <v>6874</v>
      </c>
      <c r="J49" s="10">
        <v>415</v>
      </c>
      <c r="K49" s="81">
        <f t="shared" si="0"/>
        <v>62</v>
      </c>
      <c r="L49" s="26">
        <f t="shared" si="1"/>
        <v>-353</v>
      </c>
      <c r="M49" s="18">
        <f t="shared" si="2"/>
        <v>0.48759226713532511</v>
      </c>
      <c r="N49" s="19">
        <f t="shared" si="3"/>
        <v>0.48323374340949032</v>
      </c>
      <c r="O49" s="32">
        <f t="shared" si="4"/>
        <v>2.9173989455184533E-2</v>
      </c>
      <c r="P49" s="82">
        <f t="shared" si="5"/>
        <v>4.3585237258347842E-3</v>
      </c>
      <c r="Q49" s="41">
        <f t="shared" si="6"/>
        <v>-2.4815465729349784E-2</v>
      </c>
    </row>
    <row r="50" spans="1:17" ht="18" customHeight="1" x14ac:dyDescent="0.4">
      <c r="A50" s="4" t="s">
        <v>36</v>
      </c>
      <c r="B50" s="4" t="s">
        <v>15</v>
      </c>
      <c r="C50" s="5">
        <v>4072</v>
      </c>
      <c r="D50" s="6">
        <v>3</v>
      </c>
      <c r="E50" s="5">
        <v>4069</v>
      </c>
      <c r="F50" s="6">
        <v>31</v>
      </c>
      <c r="G50" s="5">
        <v>4038</v>
      </c>
      <c r="H50" s="5">
        <v>2516</v>
      </c>
      <c r="I50" s="5">
        <v>1418</v>
      </c>
      <c r="J50" s="6">
        <v>104</v>
      </c>
      <c r="K50" s="85">
        <f t="shared" si="0"/>
        <v>1098</v>
      </c>
      <c r="L50" s="25">
        <f t="shared" si="1"/>
        <v>994</v>
      </c>
      <c r="M50" s="22">
        <f t="shared" si="2"/>
        <v>0.62308073303615652</v>
      </c>
      <c r="N50" s="22">
        <f t="shared" si="3"/>
        <v>0.35116394254581473</v>
      </c>
      <c r="O50" s="33">
        <f t="shared" si="4"/>
        <v>2.5755324418028726E-2</v>
      </c>
      <c r="P50" s="87">
        <f t="shared" si="5"/>
        <v>0.27191679049034179</v>
      </c>
      <c r="Q50" s="33">
        <f t="shared" si="6"/>
        <v>0.24616146607231304</v>
      </c>
    </row>
    <row r="51" spans="1:17" ht="18" customHeight="1" x14ac:dyDescent="0.4">
      <c r="A51" s="4" t="s">
        <v>36</v>
      </c>
      <c r="B51" s="4" t="s">
        <v>16</v>
      </c>
      <c r="C51" s="5">
        <v>21255</v>
      </c>
      <c r="D51" s="5">
        <v>10993</v>
      </c>
      <c r="E51" s="5">
        <v>10262</v>
      </c>
      <c r="F51" s="6">
        <v>75</v>
      </c>
      <c r="G51" s="5">
        <v>10187</v>
      </c>
      <c r="H51" s="5">
        <v>4420</v>
      </c>
      <c r="I51" s="5">
        <v>5456</v>
      </c>
      <c r="J51" s="6">
        <v>311</v>
      </c>
      <c r="K51" s="85">
        <f t="shared" si="0"/>
        <v>-1036</v>
      </c>
      <c r="L51" s="25">
        <f t="shared" si="1"/>
        <v>-1347</v>
      </c>
      <c r="M51" s="22">
        <f t="shared" si="2"/>
        <v>0.43388632570923724</v>
      </c>
      <c r="N51" s="22">
        <f t="shared" si="3"/>
        <v>0.53558456856778247</v>
      </c>
      <c r="O51" s="33">
        <f t="shared" si="4"/>
        <v>3.052910572298027E-2</v>
      </c>
      <c r="P51" s="87">
        <f t="shared" si="5"/>
        <v>-0.10169824285854523</v>
      </c>
      <c r="Q51" s="33">
        <f t="shared" si="6"/>
        <v>-0.13222734858152552</v>
      </c>
    </row>
    <row r="52" spans="1:17" ht="18" customHeight="1" x14ac:dyDescent="0.4">
      <c r="A52" s="4" t="s">
        <v>17</v>
      </c>
      <c r="B52" s="4"/>
      <c r="C52" s="6">
        <v>0</v>
      </c>
      <c r="D52" s="6">
        <v>-44</v>
      </c>
      <c r="E52" s="6">
        <v>44</v>
      </c>
      <c r="F52" s="6">
        <v>2</v>
      </c>
      <c r="G52" s="6">
        <v>42</v>
      </c>
      <c r="H52" s="6">
        <v>26</v>
      </c>
      <c r="I52" s="6">
        <v>15</v>
      </c>
      <c r="J52" s="6">
        <v>1</v>
      </c>
      <c r="K52" s="86"/>
      <c r="L52" s="34"/>
      <c r="M52" s="33"/>
      <c r="N52" s="33"/>
      <c r="O52" s="33"/>
      <c r="P52" s="87"/>
      <c r="Q52" s="33"/>
    </row>
  </sheetData>
  <mergeCells count="13">
    <mergeCell ref="Q2:Q3"/>
    <mergeCell ref="M1:Q1"/>
    <mergeCell ref="A1:A3"/>
    <mergeCell ref="B1:B3"/>
    <mergeCell ref="C1:C3"/>
    <mergeCell ref="E1:E3"/>
    <mergeCell ref="D1:D3"/>
    <mergeCell ref="K2:K3"/>
    <mergeCell ref="F2:F3"/>
    <mergeCell ref="G1:G3"/>
    <mergeCell ref="L2:L3"/>
    <mergeCell ref="H1:L1"/>
    <mergeCell ref="P2:P3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1A5D-E862-4ED3-8284-77DB3D1C0A4A}">
  <dimension ref="A1:T56"/>
  <sheetViews>
    <sheetView topLeftCell="A22" workbookViewId="0">
      <selection activeCell="N5" sqref="N5"/>
    </sheetView>
  </sheetViews>
  <sheetFormatPr defaultRowHeight="15.6" customHeight="1" x14ac:dyDescent="0.4"/>
  <cols>
    <col min="1" max="17" width="8.796875" style="42"/>
    <col min="18" max="18" width="8.796875" style="42" customWidth="1"/>
    <col min="19" max="16384" width="8.796875" style="42"/>
  </cols>
  <sheetData>
    <row r="1" spans="1:20" ht="15.6" customHeight="1" x14ac:dyDescent="0.4">
      <c r="A1" s="279" t="s">
        <v>76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80"/>
      <c r="Q1" s="280"/>
      <c r="T1" s="28"/>
    </row>
    <row r="2" spans="1:20" ht="15.6" customHeight="1" x14ac:dyDescent="0.4">
      <c r="A2" s="271" t="s">
        <v>0</v>
      </c>
      <c r="B2" s="271" t="s">
        <v>1</v>
      </c>
      <c r="C2" s="271" t="s">
        <v>2</v>
      </c>
      <c r="D2" s="271" t="s">
        <v>6</v>
      </c>
      <c r="E2" s="271" t="s">
        <v>131</v>
      </c>
      <c r="F2" s="3" t="s">
        <v>5</v>
      </c>
      <c r="G2" s="287" t="s">
        <v>132</v>
      </c>
      <c r="H2" s="271" t="s">
        <v>4</v>
      </c>
      <c r="I2" s="271"/>
      <c r="J2" s="271"/>
      <c r="K2" s="271"/>
      <c r="L2" s="271"/>
      <c r="M2" s="332" t="s">
        <v>109</v>
      </c>
      <c r="N2" s="332"/>
      <c r="O2" s="332"/>
      <c r="P2" s="333" t="s">
        <v>108</v>
      </c>
      <c r="Q2" s="334"/>
      <c r="T2" s="28"/>
    </row>
    <row r="3" spans="1:20" ht="15.6" customHeight="1" x14ac:dyDescent="0.4">
      <c r="A3" s="271"/>
      <c r="B3" s="271"/>
      <c r="C3" s="271"/>
      <c r="D3" s="271"/>
      <c r="E3" s="271"/>
      <c r="F3" s="271" t="s">
        <v>3</v>
      </c>
      <c r="G3" s="322"/>
      <c r="H3" s="3" t="s">
        <v>18</v>
      </c>
      <c r="I3" s="3" t="s">
        <v>20</v>
      </c>
      <c r="J3" s="3" t="s">
        <v>43</v>
      </c>
      <c r="K3" s="272" t="s">
        <v>107</v>
      </c>
      <c r="L3" s="272" t="s">
        <v>110</v>
      </c>
      <c r="M3" s="332" t="s">
        <v>114</v>
      </c>
      <c r="N3" s="332" t="s">
        <v>97</v>
      </c>
      <c r="O3" s="329" t="s">
        <v>101</v>
      </c>
      <c r="P3" s="330" t="s">
        <v>95</v>
      </c>
      <c r="Q3" s="329" t="s">
        <v>101</v>
      </c>
      <c r="T3" s="28"/>
    </row>
    <row r="4" spans="1:20" ht="15.6" customHeight="1" x14ac:dyDescent="0.4">
      <c r="A4" s="271"/>
      <c r="B4" s="271"/>
      <c r="C4" s="271"/>
      <c r="D4" s="271"/>
      <c r="E4" s="271"/>
      <c r="F4" s="271"/>
      <c r="G4" s="288"/>
      <c r="H4" s="3" t="s">
        <v>41</v>
      </c>
      <c r="I4" s="3" t="s">
        <v>42</v>
      </c>
      <c r="J4" s="3" t="s">
        <v>44</v>
      </c>
      <c r="K4" s="272"/>
      <c r="L4" s="272"/>
      <c r="M4" s="332"/>
      <c r="N4" s="332"/>
      <c r="O4" s="329"/>
      <c r="P4" s="331"/>
      <c r="Q4" s="329"/>
      <c r="T4" s="28"/>
    </row>
    <row r="5" spans="1:20" s="57" customFormat="1" ht="15.6" customHeight="1" x14ac:dyDescent="0.4">
      <c r="A5" s="7" t="s">
        <v>12</v>
      </c>
      <c r="B5" s="7"/>
      <c r="C5" s="5">
        <v>31790</v>
      </c>
      <c r="D5" s="5">
        <v>12346</v>
      </c>
      <c r="E5" s="5">
        <v>19444</v>
      </c>
      <c r="F5" s="6">
        <v>547</v>
      </c>
      <c r="G5" s="8">
        <v>18897</v>
      </c>
      <c r="H5" s="9">
        <v>8969</v>
      </c>
      <c r="I5" s="8">
        <v>8530</v>
      </c>
      <c r="J5" s="8">
        <v>1398</v>
      </c>
      <c r="K5" s="81">
        <f>H5-I5</f>
        <v>439</v>
      </c>
      <c r="L5" s="74">
        <f t="shared" ref="L5:L22" si="0">H5-(I5+J5)</f>
        <v>-959</v>
      </c>
      <c r="M5" s="60">
        <f>H5/G5</f>
        <v>0.47462560194739906</v>
      </c>
      <c r="N5" s="56">
        <f>I5/G5</f>
        <v>0.45139440122770808</v>
      </c>
      <c r="O5" s="89">
        <f>M5-N5</f>
        <v>2.3231200719690981E-2</v>
      </c>
      <c r="P5" s="76">
        <f>(I5+J5)/G5</f>
        <v>0.52537439805260089</v>
      </c>
      <c r="Q5" s="77">
        <f>M5-P5</f>
        <v>-5.0748796105201832E-2</v>
      </c>
      <c r="T5" s="29"/>
    </row>
    <row r="6" spans="1:20" s="57" customFormat="1" ht="15.6" customHeight="1" x14ac:dyDescent="0.4">
      <c r="A6" s="7" t="s">
        <v>13</v>
      </c>
      <c r="B6" s="7"/>
      <c r="C6" s="6">
        <v>77</v>
      </c>
      <c r="D6" s="6">
        <v>5</v>
      </c>
      <c r="E6" s="6">
        <v>72</v>
      </c>
      <c r="F6" s="6">
        <v>2</v>
      </c>
      <c r="G6" s="10">
        <v>70</v>
      </c>
      <c r="H6" s="59">
        <v>31</v>
      </c>
      <c r="I6" s="10">
        <v>27</v>
      </c>
      <c r="J6" s="10">
        <v>12</v>
      </c>
      <c r="K6" s="81">
        <f t="shared" ref="K6:K22" si="1">H6-I6</f>
        <v>4</v>
      </c>
      <c r="L6" s="74">
        <f t="shared" si="0"/>
        <v>-8</v>
      </c>
      <c r="M6" s="60">
        <f>H6/G6</f>
        <v>0.44285714285714284</v>
      </c>
      <c r="N6" s="56">
        <f t="shared" ref="N6:N22" si="2">I6/G6</f>
        <v>0.38571428571428573</v>
      </c>
      <c r="O6" s="89">
        <f t="shared" ref="O6:O22" si="3">M6-N6</f>
        <v>5.7142857142857106E-2</v>
      </c>
      <c r="P6" s="76">
        <f t="shared" ref="P6:P22" si="4">(I6+J6)/G6</f>
        <v>0.55714285714285716</v>
      </c>
      <c r="Q6" s="77">
        <f t="shared" ref="Q6:Q22" si="5">M6-P6</f>
        <v>-0.11428571428571432</v>
      </c>
      <c r="T6" s="29"/>
    </row>
    <row r="7" spans="1:20" s="57" customFormat="1" ht="15.6" customHeight="1" x14ac:dyDescent="0.4">
      <c r="A7" s="7" t="s">
        <v>14</v>
      </c>
      <c r="B7" s="7"/>
      <c r="C7" s="5">
        <v>1858</v>
      </c>
      <c r="D7" s="6">
        <v>2</v>
      </c>
      <c r="E7" s="5">
        <v>1856</v>
      </c>
      <c r="F7" s="6">
        <v>34</v>
      </c>
      <c r="G7" s="8">
        <v>1822</v>
      </c>
      <c r="H7" s="9">
        <v>1077</v>
      </c>
      <c r="I7" s="10">
        <v>660</v>
      </c>
      <c r="J7" s="10">
        <v>85</v>
      </c>
      <c r="K7" s="81">
        <f t="shared" si="1"/>
        <v>417</v>
      </c>
      <c r="L7" s="75">
        <f t="shared" si="0"/>
        <v>332</v>
      </c>
      <c r="M7" s="60">
        <f t="shared" ref="M7:M22" si="6">H7/G7</f>
        <v>0.59110867178924265</v>
      </c>
      <c r="N7" s="56">
        <f t="shared" si="2"/>
        <v>0.36223929747530187</v>
      </c>
      <c r="O7" s="89">
        <f t="shared" si="3"/>
        <v>0.22886937431394078</v>
      </c>
      <c r="P7" s="78">
        <f t="shared" si="4"/>
        <v>0.40889132821075741</v>
      </c>
      <c r="Q7" s="61">
        <f t="shared" si="5"/>
        <v>0.18221734357848524</v>
      </c>
      <c r="T7" s="29"/>
    </row>
    <row r="8" spans="1:20" s="57" customFormat="1" ht="15.6" customHeight="1" x14ac:dyDescent="0.4">
      <c r="A8" s="7" t="s">
        <v>22</v>
      </c>
      <c r="B8" s="7" t="s">
        <v>11</v>
      </c>
      <c r="C8" s="5">
        <v>10344</v>
      </c>
      <c r="D8" s="5">
        <v>4613</v>
      </c>
      <c r="E8" s="5">
        <v>5731</v>
      </c>
      <c r="F8" s="6">
        <v>139</v>
      </c>
      <c r="G8" s="8">
        <v>5592</v>
      </c>
      <c r="H8" s="9">
        <v>2703</v>
      </c>
      <c r="I8" s="8">
        <v>2421</v>
      </c>
      <c r="J8" s="10">
        <v>468</v>
      </c>
      <c r="K8" s="81">
        <f t="shared" si="1"/>
        <v>282</v>
      </c>
      <c r="L8" s="74">
        <f t="shared" si="0"/>
        <v>-186</v>
      </c>
      <c r="M8" s="60">
        <f t="shared" si="6"/>
        <v>0.48336909871244638</v>
      </c>
      <c r="N8" s="56">
        <f t="shared" si="2"/>
        <v>0.43293991416309013</v>
      </c>
      <c r="O8" s="89">
        <f t="shared" si="3"/>
        <v>5.0429184549356243E-2</v>
      </c>
      <c r="P8" s="76">
        <f t="shared" si="4"/>
        <v>0.51663090128755362</v>
      </c>
      <c r="Q8" s="77">
        <f t="shared" si="5"/>
        <v>-3.3261802575107247E-2</v>
      </c>
      <c r="T8" s="58"/>
    </row>
    <row r="9" spans="1:20" ht="15.6" customHeight="1" x14ac:dyDescent="0.4">
      <c r="A9" s="4" t="s">
        <v>22</v>
      </c>
      <c r="B9" s="4" t="s">
        <v>15</v>
      </c>
      <c r="C9" s="5">
        <v>2114</v>
      </c>
      <c r="D9" s="6">
        <v>2</v>
      </c>
      <c r="E9" s="5">
        <v>2112</v>
      </c>
      <c r="F9" s="6">
        <v>49</v>
      </c>
      <c r="G9" s="5">
        <v>2063</v>
      </c>
      <c r="H9" s="5">
        <v>1276</v>
      </c>
      <c r="I9" s="6">
        <v>642</v>
      </c>
      <c r="J9" s="6">
        <v>145</v>
      </c>
      <c r="K9" s="85">
        <f t="shared" si="1"/>
        <v>634</v>
      </c>
      <c r="L9" s="43">
        <f t="shared" si="0"/>
        <v>489</v>
      </c>
      <c r="M9" s="44">
        <f t="shared" si="6"/>
        <v>0.61851672321861362</v>
      </c>
      <c r="N9" s="44">
        <f t="shared" si="2"/>
        <v>0.31119728550654385</v>
      </c>
      <c r="O9" s="90">
        <f t="shared" si="3"/>
        <v>0.30731943771206977</v>
      </c>
      <c r="P9" s="65">
        <f t="shared" si="4"/>
        <v>0.38148327678138633</v>
      </c>
      <c r="Q9" s="44">
        <f t="shared" si="5"/>
        <v>0.23703344643722729</v>
      </c>
      <c r="T9" s="45"/>
    </row>
    <row r="10" spans="1:20" ht="15.6" customHeight="1" x14ac:dyDescent="0.4">
      <c r="A10" s="4" t="s">
        <v>22</v>
      </c>
      <c r="B10" s="4" t="s">
        <v>16</v>
      </c>
      <c r="C10" s="5">
        <v>8230</v>
      </c>
      <c r="D10" s="5">
        <v>4611</v>
      </c>
      <c r="E10" s="5">
        <v>3619</v>
      </c>
      <c r="F10" s="6">
        <v>90</v>
      </c>
      <c r="G10" s="5">
        <v>3529</v>
      </c>
      <c r="H10" s="5">
        <v>1427</v>
      </c>
      <c r="I10" s="5">
        <v>1779</v>
      </c>
      <c r="J10" s="6">
        <v>323</v>
      </c>
      <c r="K10" s="85">
        <f t="shared" si="1"/>
        <v>-352</v>
      </c>
      <c r="L10" s="43">
        <f t="shared" si="0"/>
        <v>-675</v>
      </c>
      <c r="M10" s="44">
        <f t="shared" si="6"/>
        <v>0.40436384244828566</v>
      </c>
      <c r="N10" s="44">
        <f t="shared" si="2"/>
        <v>0.50410881269481445</v>
      </c>
      <c r="O10" s="90">
        <f t="shared" si="3"/>
        <v>-9.9744970246528786E-2</v>
      </c>
      <c r="P10" s="65">
        <f t="shared" si="4"/>
        <v>0.5956361575517144</v>
      </c>
      <c r="Q10" s="44">
        <f t="shared" si="5"/>
        <v>-0.19127231510342874</v>
      </c>
      <c r="T10" s="45"/>
    </row>
    <row r="11" spans="1:20" s="57" customFormat="1" ht="15.6" customHeight="1" x14ac:dyDescent="0.4">
      <c r="A11" s="7" t="s">
        <v>26</v>
      </c>
      <c r="B11" s="7" t="s">
        <v>11</v>
      </c>
      <c r="C11" s="5">
        <v>6257</v>
      </c>
      <c r="D11" s="5">
        <v>2685</v>
      </c>
      <c r="E11" s="5">
        <v>3572</v>
      </c>
      <c r="F11" s="6">
        <v>109</v>
      </c>
      <c r="G11" s="8">
        <v>3463</v>
      </c>
      <c r="H11" s="9">
        <v>1531</v>
      </c>
      <c r="I11" s="8">
        <v>1464</v>
      </c>
      <c r="J11" s="10">
        <v>468</v>
      </c>
      <c r="K11" s="81">
        <f>H11-I11</f>
        <v>67</v>
      </c>
      <c r="L11" s="74">
        <f t="shared" si="0"/>
        <v>-401</v>
      </c>
      <c r="M11" s="60">
        <f>H11/G11</f>
        <v>0.44210222350563094</v>
      </c>
      <c r="N11" s="56">
        <f>I11/G11</f>
        <v>0.42275483684666476</v>
      </c>
      <c r="O11" s="89">
        <f>M11-N11</f>
        <v>1.9347386658966181E-2</v>
      </c>
      <c r="P11" s="76">
        <f>(I11+J11)/G11</f>
        <v>0.557897776494369</v>
      </c>
      <c r="Q11" s="77">
        <f>M11-P11</f>
        <v>-0.11579555298873806</v>
      </c>
      <c r="T11" s="58"/>
    </row>
    <row r="12" spans="1:20" ht="15.6" customHeight="1" x14ac:dyDescent="0.4">
      <c r="A12" s="4" t="s">
        <v>26</v>
      </c>
      <c r="B12" s="4" t="s">
        <v>15</v>
      </c>
      <c r="C12" s="5">
        <v>1092</v>
      </c>
      <c r="D12" s="6">
        <v>1</v>
      </c>
      <c r="E12" s="5">
        <v>1091</v>
      </c>
      <c r="F12" s="6">
        <v>26</v>
      </c>
      <c r="G12" s="5">
        <v>1065</v>
      </c>
      <c r="H12" s="6">
        <v>542</v>
      </c>
      <c r="I12" s="6">
        <v>397</v>
      </c>
      <c r="J12" s="6">
        <v>126</v>
      </c>
      <c r="K12" s="85">
        <f>H12-I12</f>
        <v>145</v>
      </c>
      <c r="L12" s="43">
        <f t="shared" si="0"/>
        <v>19</v>
      </c>
      <c r="M12" s="44">
        <f>H12/G12</f>
        <v>0.50892018779342718</v>
      </c>
      <c r="N12" s="44">
        <f>I12/G12</f>
        <v>0.37276995305164318</v>
      </c>
      <c r="O12" s="90">
        <f>M12-N12</f>
        <v>0.136150234741784</v>
      </c>
      <c r="P12" s="65">
        <f>(I12+J12)/G12</f>
        <v>0.49107981220657276</v>
      </c>
      <c r="Q12" s="44">
        <f>M12-P12</f>
        <v>1.7840375586854418E-2</v>
      </c>
      <c r="T12" s="45"/>
    </row>
    <row r="13" spans="1:20" ht="15.6" customHeight="1" thickBot="1" x14ac:dyDescent="0.45">
      <c r="A13" s="4" t="s">
        <v>26</v>
      </c>
      <c r="B13" s="4" t="s">
        <v>16</v>
      </c>
      <c r="C13" s="5">
        <v>5165</v>
      </c>
      <c r="D13" s="5">
        <v>2684</v>
      </c>
      <c r="E13" s="5">
        <v>2481</v>
      </c>
      <c r="F13" s="6">
        <v>83</v>
      </c>
      <c r="G13" s="5">
        <v>2398</v>
      </c>
      <c r="H13" s="6">
        <v>989</v>
      </c>
      <c r="I13" s="5">
        <v>1067</v>
      </c>
      <c r="J13" s="6">
        <v>342</v>
      </c>
      <c r="K13" s="85">
        <f>H13-I13</f>
        <v>-78</v>
      </c>
      <c r="L13" s="43">
        <f t="shared" si="0"/>
        <v>-420</v>
      </c>
      <c r="M13" s="44">
        <f>H13/G13</f>
        <v>0.41242702251876562</v>
      </c>
      <c r="N13" s="44">
        <f>I13/G13</f>
        <v>0.44495412844036697</v>
      </c>
      <c r="O13" s="90">
        <f>M13-N13</f>
        <v>-3.2527105921601351E-2</v>
      </c>
      <c r="P13" s="65">
        <f>(I13+J13)/G13</f>
        <v>0.58757297748123438</v>
      </c>
      <c r="Q13" s="44">
        <f>M13-P13</f>
        <v>-0.17514595496246876</v>
      </c>
      <c r="T13" s="45"/>
    </row>
    <row r="14" spans="1:20" s="57" customFormat="1" ht="15.6" customHeight="1" thickBot="1" x14ac:dyDescent="0.45">
      <c r="A14" s="7" t="s">
        <v>23</v>
      </c>
      <c r="B14" s="7" t="s">
        <v>11</v>
      </c>
      <c r="C14" s="5">
        <v>5911</v>
      </c>
      <c r="D14" s="5">
        <v>2231</v>
      </c>
      <c r="E14" s="5">
        <v>3680</v>
      </c>
      <c r="F14" s="6">
        <v>86</v>
      </c>
      <c r="G14" s="8">
        <v>3594</v>
      </c>
      <c r="H14" s="9">
        <v>1875</v>
      </c>
      <c r="I14" s="8">
        <v>1552</v>
      </c>
      <c r="J14" s="10">
        <v>167</v>
      </c>
      <c r="K14" s="81">
        <f t="shared" si="1"/>
        <v>323</v>
      </c>
      <c r="L14" s="75">
        <f t="shared" si="0"/>
        <v>156</v>
      </c>
      <c r="M14" s="60">
        <f t="shared" si="6"/>
        <v>0.52170283806343909</v>
      </c>
      <c r="N14" s="56">
        <f t="shared" si="2"/>
        <v>0.43183082915971061</v>
      </c>
      <c r="O14" s="89">
        <f t="shared" si="3"/>
        <v>8.9872008903728484E-2</v>
      </c>
      <c r="P14" s="65">
        <f t="shared" si="4"/>
        <v>0.47829716193656091</v>
      </c>
      <c r="Q14" s="61">
        <f t="shared" si="5"/>
        <v>4.3405676126878179E-2</v>
      </c>
      <c r="T14" s="71"/>
    </row>
    <row r="15" spans="1:20" ht="15.6" customHeight="1" x14ac:dyDescent="0.4">
      <c r="A15" s="4" t="s">
        <v>23</v>
      </c>
      <c r="B15" s="4" t="s">
        <v>15</v>
      </c>
      <c r="C15" s="5">
        <v>1424</v>
      </c>
      <c r="D15" s="6">
        <v>2</v>
      </c>
      <c r="E15" s="5">
        <v>1422</v>
      </c>
      <c r="F15" s="6">
        <v>41</v>
      </c>
      <c r="G15" s="5">
        <v>1381</v>
      </c>
      <c r="H15" s="6">
        <v>900</v>
      </c>
      <c r="I15" s="6">
        <v>421</v>
      </c>
      <c r="J15" s="6">
        <v>60</v>
      </c>
      <c r="K15" s="85">
        <f t="shared" si="1"/>
        <v>479</v>
      </c>
      <c r="L15" s="43">
        <f t="shared" si="0"/>
        <v>419</v>
      </c>
      <c r="M15" s="44">
        <f t="shared" si="6"/>
        <v>0.65170166545981179</v>
      </c>
      <c r="N15" s="44">
        <f t="shared" si="2"/>
        <v>0.30485155684286747</v>
      </c>
      <c r="O15" s="90">
        <f t="shared" si="3"/>
        <v>0.34685010861694432</v>
      </c>
      <c r="P15" s="65">
        <f t="shared" si="4"/>
        <v>0.34829833454018827</v>
      </c>
      <c r="Q15" s="44">
        <f t="shared" si="5"/>
        <v>0.30340333091962352</v>
      </c>
      <c r="S15" s="62"/>
      <c r="T15" s="45"/>
    </row>
    <row r="16" spans="1:20" ht="15.6" customHeight="1" x14ac:dyDescent="0.4">
      <c r="A16" s="4" t="s">
        <v>23</v>
      </c>
      <c r="B16" s="4" t="s">
        <v>16</v>
      </c>
      <c r="C16" s="5">
        <v>4487</v>
      </c>
      <c r="D16" s="5">
        <v>2229</v>
      </c>
      <c r="E16" s="5">
        <v>2258</v>
      </c>
      <c r="F16" s="6">
        <v>45</v>
      </c>
      <c r="G16" s="5">
        <v>2213</v>
      </c>
      <c r="H16" s="6">
        <v>975</v>
      </c>
      <c r="I16" s="5">
        <v>1131</v>
      </c>
      <c r="J16" s="6">
        <v>107</v>
      </c>
      <c r="K16" s="85">
        <f t="shared" si="1"/>
        <v>-156</v>
      </c>
      <c r="L16" s="43">
        <f t="shared" si="0"/>
        <v>-263</v>
      </c>
      <c r="M16" s="44">
        <f t="shared" si="6"/>
        <v>0.4405784003615002</v>
      </c>
      <c r="N16" s="44">
        <f t="shared" si="2"/>
        <v>0.51107094441934031</v>
      </c>
      <c r="O16" s="90">
        <f t="shared" si="3"/>
        <v>-7.0492544057840112E-2</v>
      </c>
      <c r="P16" s="65">
        <f t="shared" si="4"/>
        <v>0.5594215996384998</v>
      </c>
      <c r="Q16" s="44">
        <f t="shared" si="5"/>
        <v>-0.1188431992769996</v>
      </c>
      <c r="T16" s="45"/>
    </row>
    <row r="17" spans="1:20" s="57" customFormat="1" ht="15.6" customHeight="1" x14ac:dyDescent="0.4">
      <c r="A17" s="7" t="s">
        <v>24</v>
      </c>
      <c r="B17" s="7" t="s">
        <v>11</v>
      </c>
      <c r="C17" s="5">
        <v>4473</v>
      </c>
      <c r="D17" s="5">
        <v>1806</v>
      </c>
      <c r="E17" s="5">
        <v>2667</v>
      </c>
      <c r="F17" s="6">
        <v>109</v>
      </c>
      <c r="G17" s="8">
        <v>2558</v>
      </c>
      <c r="H17" s="8">
        <v>1046</v>
      </c>
      <c r="I17" s="12">
        <v>1391</v>
      </c>
      <c r="J17" s="10">
        <v>121</v>
      </c>
      <c r="K17" s="83">
        <f t="shared" si="1"/>
        <v>-345</v>
      </c>
      <c r="L17" s="74">
        <f t="shared" si="0"/>
        <v>-466</v>
      </c>
      <c r="M17" s="56">
        <f t="shared" si="6"/>
        <v>0.40891321344800624</v>
      </c>
      <c r="N17" s="63">
        <f t="shared" si="2"/>
        <v>0.5437842064112588</v>
      </c>
      <c r="O17" s="91">
        <f t="shared" si="3"/>
        <v>-0.13487099296325256</v>
      </c>
      <c r="P17" s="76">
        <f t="shared" si="4"/>
        <v>0.59108678655199376</v>
      </c>
      <c r="Q17" s="77">
        <f t="shared" si="5"/>
        <v>-0.18217357310398752</v>
      </c>
      <c r="T17" s="58"/>
    </row>
    <row r="18" spans="1:20" ht="15.6" customHeight="1" x14ac:dyDescent="0.4">
      <c r="A18" s="4" t="s">
        <v>24</v>
      </c>
      <c r="B18" s="4" t="s">
        <v>15</v>
      </c>
      <c r="C18" s="6">
        <v>829</v>
      </c>
      <c r="D18" s="6">
        <v>2</v>
      </c>
      <c r="E18" s="6">
        <v>827</v>
      </c>
      <c r="F18" s="6">
        <v>34</v>
      </c>
      <c r="G18" s="6">
        <v>793</v>
      </c>
      <c r="H18" s="6">
        <v>397</v>
      </c>
      <c r="I18" s="6">
        <v>365</v>
      </c>
      <c r="J18" s="6">
        <v>31</v>
      </c>
      <c r="K18" s="85">
        <f t="shared" si="1"/>
        <v>32</v>
      </c>
      <c r="L18" s="43">
        <f t="shared" si="0"/>
        <v>1</v>
      </c>
      <c r="M18" s="44">
        <f t="shared" si="6"/>
        <v>0.50063051702395966</v>
      </c>
      <c r="N18" s="44">
        <f t="shared" si="2"/>
        <v>0.46027742749054223</v>
      </c>
      <c r="O18" s="90">
        <f t="shared" si="3"/>
        <v>4.035308953341743E-2</v>
      </c>
      <c r="P18" s="65">
        <f t="shared" si="4"/>
        <v>0.49936948297604034</v>
      </c>
      <c r="Q18" s="44">
        <f t="shared" si="5"/>
        <v>1.2610340479193294E-3</v>
      </c>
      <c r="T18" s="45"/>
    </row>
    <row r="19" spans="1:20" ht="15.6" customHeight="1" x14ac:dyDescent="0.4">
      <c r="A19" s="4" t="s">
        <v>24</v>
      </c>
      <c r="B19" s="4" t="s">
        <v>16</v>
      </c>
      <c r="C19" s="5">
        <v>3644</v>
      </c>
      <c r="D19" s="5">
        <v>1804</v>
      </c>
      <c r="E19" s="5">
        <v>1840</v>
      </c>
      <c r="F19" s="6">
        <v>75</v>
      </c>
      <c r="G19" s="5">
        <v>1765</v>
      </c>
      <c r="H19" s="6">
        <v>649</v>
      </c>
      <c r="I19" s="5">
        <v>1026</v>
      </c>
      <c r="J19" s="6">
        <v>90</v>
      </c>
      <c r="K19" s="85">
        <f t="shared" si="1"/>
        <v>-377</v>
      </c>
      <c r="L19" s="43">
        <f t="shared" si="0"/>
        <v>-467</v>
      </c>
      <c r="M19" s="44">
        <f t="shared" si="6"/>
        <v>0.36770538243626061</v>
      </c>
      <c r="N19" s="44">
        <f t="shared" si="2"/>
        <v>0.58130311614730878</v>
      </c>
      <c r="O19" s="90">
        <f t="shared" si="3"/>
        <v>-0.21359773371104818</v>
      </c>
      <c r="P19" s="65">
        <f t="shared" si="4"/>
        <v>0.63229461756373939</v>
      </c>
      <c r="Q19" s="44">
        <f t="shared" si="5"/>
        <v>-0.26458923512747878</v>
      </c>
      <c r="T19" s="45"/>
    </row>
    <row r="20" spans="1:20" s="57" customFormat="1" ht="15.6" customHeight="1" x14ac:dyDescent="0.4">
      <c r="A20" s="7" t="s">
        <v>25</v>
      </c>
      <c r="B20" s="7" t="s">
        <v>11</v>
      </c>
      <c r="C20" s="5">
        <v>2870</v>
      </c>
      <c r="D20" s="5">
        <v>1020</v>
      </c>
      <c r="E20" s="5">
        <v>1850</v>
      </c>
      <c r="F20" s="6">
        <v>68</v>
      </c>
      <c r="G20" s="8">
        <v>1782</v>
      </c>
      <c r="H20" s="10">
        <v>699</v>
      </c>
      <c r="I20" s="12">
        <v>1007</v>
      </c>
      <c r="J20" s="10">
        <v>76</v>
      </c>
      <c r="K20" s="83">
        <f t="shared" si="1"/>
        <v>-308</v>
      </c>
      <c r="L20" s="74">
        <f t="shared" si="0"/>
        <v>-384</v>
      </c>
      <c r="M20" s="56">
        <f t="shared" si="6"/>
        <v>0.39225589225589225</v>
      </c>
      <c r="N20" s="63">
        <f t="shared" si="2"/>
        <v>0.5650953984287318</v>
      </c>
      <c r="O20" s="91">
        <f t="shared" si="3"/>
        <v>-0.17283950617283955</v>
      </c>
      <c r="P20" s="76">
        <f t="shared" si="4"/>
        <v>0.6077441077441077</v>
      </c>
      <c r="Q20" s="77">
        <f t="shared" si="5"/>
        <v>-0.21548821548821545</v>
      </c>
      <c r="T20" s="58"/>
    </row>
    <row r="21" spans="1:20" ht="15.6" customHeight="1" x14ac:dyDescent="0.4">
      <c r="A21" s="4" t="s">
        <v>25</v>
      </c>
      <c r="B21" s="4" t="s">
        <v>15</v>
      </c>
      <c r="C21" s="6">
        <v>685</v>
      </c>
      <c r="D21" s="6">
        <v>1</v>
      </c>
      <c r="E21" s="6">
        <v>684</v>
      </c>
      <c r="F21" s="6">
        <v>32</v>
      </c>
      <c r="G21" s="6">
        <v>652</v>
      </c>
      <c r="H21" s="6">
        <v>314</v>
      </c>
      <c r="I21" s="6">
        <v>318</v>
      </c>
      <c r="J21" s="6">
        <v>20</v>
      </c>
      <c r="K21" s="85">
        <f t="shared" si="1"/>
        <v>-4</v>
      </c>
      <c r="L21" s="43">
        <f t="shared" si="0"/>
        <v>-24</v>
      </c>
      <c r="M21" s="44">
        <f t="shared" si="6"/>
        <v>0.48159509202453987</v>
      </c>
      <c r="N21" s="44">
        <f t="shared" si="2"/>
        <v>0.48773006134969327</v>
      </c>
      <c r="O21" s="90">
        <f t="shared" si="3"/>
        <v>-6.1349693251533943E-3</v>
      </c>
      <c r="P21" s="65">
        <f t="shared" si="4"/>
        <v>0.51840490797546013</v>
      </c>
      <c r="Q21" s="44">
        <f t="shared" si="5"/>
        <v>-3.6809815950920255E-2</v>
      </c>
      <c r="T21" s="45"/>
    </row>
    <row r="22" spans="1:20" ht="15.6" customHeight="1" x14ac:dyDescent="0.4">
      <c r="A22" s="4" t="s">
        <v>25</v>
      </c>
      <c r="B22" s="4" t="s">
        <v>16</v>
      </c>
      <c r="C22" s="5">
        <v>2185</v>
      </c>
      <c r="D22" s="5">
        <v>1019</v>
      </c>
      <c r="E22" s="5">
        <v>1166</v>
      </c>
      <c r="F22" s="6">
        <v>36</v>
      </c>
      <c r="G22" s="5">
        <v>1130</v>
      </c>
      <c r="H22" s="6">
        <v>385</v>
      </c>
      <c r="I22" s="6">
        <v>689</v>
      </c>
      <c r="J22" s="6">
        <v>56</v>
      </c>
      <c r="K22" s="85">
        <f t="shared" si="1"/>
        <v>-304</v>
      </c>
      <c r="L22" s="43">
        <f t="shared" si="0"/>
        <v>-360</v>
      </c>
      <c r="M22" s="44">
        <f t="shared" si="6"/>
        <v>0.34070796460176989</v>
      </c>
      <c r="N22" s="44">
        <f t="shared" si="2"/>
        <v>0.60973451327433625</v>
      </c>
      <c r="O22" s="90">
        <f t="shared" si="3"/>
        <v>-0.26902654867256637</v>
      </c>
      <c r="P22" s="65">
        <f t="shared" si="4"/>
        <v>0.65929203539823011</v>
      </c>
      <c r="Q22" s="44">
        <f t="shared" si="5"/>
        <v>-0.31858407079646023</v>
      </c>
      <c r="T22" s="45"/>
    </row>
    <row r="23" spans="1:20" ht="15.6" customHeight="1" x14ac:dyDescent="0.4">
      <c r="A23" s="4" t="s">
        <v>17</v>
      </c>
      <c r="B23" s="4"/>
      <c r="C23" s="6">
        <v>0</v>
      </c>
      <c r="D23" s="6">
        <v>-16</v>
      </c>
      <c r="E23" s="6">
        <v>16</v>
      </c>
      <c r="F23" s="6">
        <v>0</v>
      </c>
      <c r="G23" s="6">
        <v>16</v>
      </c>
      <c r="H23" s="6">
        <v>7</v>
      </c>
      <c r="I23" s="6">
        <v>8</v>
      </c>
      <c r="J23" s="6">
        <v>1</v>
      </c>
      <c r="K23" s="88"/>
      <c r="L23" s="43"/>
      <c r="M23" s="44"/>
      <c r="N23" s="44"/>
      <c r="O23" s="90"/>
      <c r="P23" s="65"/>
      <c r="Q23" s="44"/>
      <c r="T23" s="45"/>
    </row>
    <row r="25" spans="1:20" ht="15.6" customHeight="1" x14ac:dyDescent="0.4">
      <c r="A25" s="280" t="s">
        <v>74</v>
      </c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</row>
    <row r="26" spans="1:20" ht="15.6" customHeight="1" x14ac:dyDescent="0.4">
      <c r="A26" s="288" t="s">
        <v>0</v>
      </c>
      <c r="B26" s="288" t="s">
        <v>1</v>
      </c>
      <c r="C26" s="288" t="s">
        <v>2</v>
      </c>
      <c r="D26" s="322" t="s">
        <v>6</v>
      </c>
      <c r="E26" s="271" t="s">
        <v>131</v>
      </c>
      <c r="F26" s="13" t="s">
        <v>5</v>
      </c>
      <c r="G26" s="287" t="s">
        <v>132</v>
      </c>
      <c r="H26" s="263" t="s">
        <v>4</v>
      </c>
      <c r="I26" s="328"/>
      <c r="J26" s="328"/>
      <c r="K26" s="328"/>
      <c r="L26" s="328"/>
      <c r="M26" s="328"/>
      <c r="N26" s="264"/>
      <c r="O26" s="332" t="s">
        <v>109</v>
      </c>
      <c r="P26" s="332"/>
      <c r="Q26" s="332"/>
      <c r="R26" s="333" t="s">
        <v>108</v>
      </c>
      <c r="S26" s="334"/>
    </row>
    <row r="27" spans="1:20" ht="15.6" customHeight="1" x14ac:dyDescent="0.4">
      <c r="A27" s="271"/>
      <c r="B27" s="271"/>
      <c r="C27" s="271"/>
      <c r="D27" s="322"/>
      <c r="E27" s="271"/>
      <c r="F27" s="287" t="s">
        <v>3</v>
      </c>
      <c r="G27" s="322"/>
      <c r="H27" s="3" t="s">
        <v>18</v>
      </c>
      <c r="I27" s="3" t="s">
        <v>18</v>
      </c>
      <c r="J27" s="3" t="s">
        <v>20</v>
      </c>
      <c r="K27" s="3" t="s">
        <v>20</v>
      </c>
      <c r="L27" s="3" t="s">
        <v>43</v>
      </c>
      <c r="M27" s="272" t="s">
        <v>111</v>
      </c>
      <c r="N27" s="320" t="s">
        <v>112</v>
      </c>
      <c r="O27" s="335" t="s">
        <v>113</v>
      </c>
      <c r="P27" s="335" t="s">
        <v>94</v>
      </c>
      <c r="Q27" s="337" t="s">
        <v>101</v>
      </c>
      <c r="R27" s="329" t="s">
        <v>93</v>
      </c>
      <c r="S27" s="329" t="s">
        <v>101</v>
      </c>
    </row>
    <row r="28" spans="1:20" ht="15.6" customHeight="1" x14ac:dyDescent="0.4">
      <c r="A28" s="271"/>
      <c r="B28" s="271"/>
      <c r="C28" s="271"/>
      <c r="D28" s="288"/>
      <c r="E28" s="271"/>
      <c r="F28" s="288"/>
      <c r="G28" s="288"/>
      <c r="H28" s="3" t="s">
        <v>49</v>
      </c>
      <c r="I28" s="3" t="s">
        <v>50</v>
      </c>
      <c r="J28" s="3" t="s">
        <v>51</v>
      </c>
      <c r="K28" s="3" t="s">
        <v>52</v>
      </c>
      <c r="L28" s="3" t="s">
        <v>53</v>
      </c>
      <c r="M28" s="272"/>
      <c r="N28" s="321"/>
      <c r="O28" s="336"/>
      <c r="P28" s="336"/>
      <c r="Q28" s="338"/>
      <c r="R28" s="329"/>
      <c r="S28" s="329"/>
    </row>
    <row r="29" spans="1:20" s="57" customFormat="1" ht="15.6" customHeight="1" x14ac:dyDescent="0.4">
      <c r="A29" s="7" t="s">
        <v>12</v>
      </c>
      <c r="B29" s="7"/>
      <c r="C29" s="5">
        <v>17680</v>
      </c>
      <c r="D29" s="5">
        <v>7294</v>
      </c>
      <c r="E29" s="5">
        <v>10386</v>
      </c>
      <c r="F29" s="6">
        <v>448</v>
      </c>
      <c r="G29" s="8">
        <v>9938</v>
      </c>
      <c r="H29" s="8">
        <v>2487</v>
      </c>
      <c r="I29" s="8">
        <v>2457</v>
      </c>
      <c r="J29" s="8">
        <v>2757</v>
      </c>
      <c r="K29" s="8">
        <v>1251</v>
      </c>
      <c r="L29" s="10">
        <v>986</v>
      </c>
      <c r="M29" s="92">
        <f>(H29+I29)-(J29+K29)</f>
        <v>936</v>
      </c>
      <c r="N29" s="74">
        <f t="shared" ref="N29:N37" si="7">(H29+I29)-(J29+K29+L29)</f>
        <v>-50</v>
      </c>
      <c r="O29" s="60">
        <f>(H29+I29)/G29</f>
        <v>0.4974844033004629</v>
      </c>
      <c r="P29" s="56">
        <f>(J29+K29)/G29</f>
        <v>0.40330046286979271</v>
      </c>
      <c r="Q29" s="89">
        <f>O29-P29</f>
        <v>9.4183940430670188E-2</v>
      </c>
      <c r="R29" s="77">
        <f t="shared" ref="R29:R37" si="8">(J29+K29+L29)/G29</f>
        <v>0.50251559669953716</v>
      </c>
      <c r="S29" s="77">
        <f>O29-R29</f>
        <v>-5.031193399074263E-3</v>
      </c>
    </row>
    <row r="30" spans="1:20" s="57" customFormat="1" ht="15.6" customHeight="1" x14ac:dyDescent="0.4">
      <c r="A30" s="7" t="s">
        <v>13</v>
      </c>
      <c r="B30" s="7"/>
      <c r="C30" s="6">
        <v>41</v>
      </c>
      <c r="D30" s="6">
        <v>1</v>
      </c>
      <c r="E30" s="6">
        <v>40</v>
      </c>
      <c r="F30" s="6">
        <v>2</v>
      </c>
      <c r="G30" s="10">
        <v>38</v>
      </c>
      <c r="H30" s="10">
        <v>8</v>
      </c>
      <c r="I30" s="10">
        <v>6</v>
      </c>
      <c r="J30" s="10">
        <v>9</v>
      </c>
      <c r="K30" s="10">
        <v>2</v>
      </c>
      <c r="L30" s="10">
        <v>13</v>
      </c>
      <c r="M30" s="92">
        <f t="shared" ref="M30:M37" si="9">(H30+I30)-(J30+K30)</f>
        <v>3</v>
      </c>
      <c r="N30" s="74">
        <f t="shared" si="7"/>
        <v>-10</v>
      </c>
      <c r="O30" s="56">
        <f t="shared" ref="O30:O37" si="10">(H30+I30)/E30</f>
        <v>0.35</v>
      </c>
      <c r="P30" s="63">
        <f t="shared" ref="P30:P37" si="11">(J30+K30+L30)/E30</f>
        <v>0.6</v>
      </c>
      <c r="Q30" s="91">
        <f t="shared" ref="Q30:Q37" si="12">O30-P30</f>
        <v>-0.25</v>
      </c>
      <c r="R30" s="77">
        <f t="shared" si="8"/>
        <v>0.63157894736842102</v>
      </c>
      <c r="S30" s="77">
        <f t="shared" ref="S30:S37" si="13">O30-R30</f>
        <v>-0.28157894736842104</v>
      </c>
    </row>
    <row r="31" spans="1:20" s="57" customFormat="1" ht="15.6" customHeight="1" x14ac:dyDescent="0.4">
      <c r="A31" s="7" t="s">
        <v>14</v>
      </c>
      <c r="B31" s="7"/>
      <c r="C31" s="5">
        <v>1038</v>
      </c>
      <c r="D31" s="6">
        <v>1</v>
      </c>
      <c r="E31" s="5">
        <v>1037</v>
      </c>
      <c r="F31" s="6">
        <v>36</v>
      </c>
      <c r="G31" s="8">
        <v>1001</v>
      </c>
      <c r="H31" s="10">
        <v>368</v>
      </c>
      <c r="I31" s="10">
        <v>254</v>
      </c>
      <c r="J31" s="10">
        <v>233</v>
      </c>
      <c r="K31" s="10">
        <v>86</v>
      </c>
      <c r="L31" s="10">
        <v>60</v>
      </c>
      <c r="M31" s="92">
        <f t="shared" si="9"/>
        <v>303</v>
      </c>
      <c r="N31" s="75">
        <f t="shared" si="7"/>
        <v>243</v>
      </c>
      <c r="O31" s="60">
        <f t="shared" si="10"/>
        <v>0.5998071359691417</v>
      </c>
      <c r="P31" s="56">
        <f t="shared" si="11"/>
        <v>0.36547733847637415</v>
      </c>
      <c r="Q31" s="89">
        <f t="shared" si="12"/>
        <v>0.23432979749276756</v>
      </c>
      <c r="R31" s="44">
        <f t="shared" si="8"/>
        <v>0.37862137862137862</v>
      </c>
      <c r="S31" s="61">
        <f t="shared" si="13"/>
        <v>0.22118575734776308</v>
      </c>
    </row>
    <row r="32" spans="1:20" s="57" customFormat="1" ht="15.6" customHeight="1" x14ac:dyDescent="0.4">
      <c r="A32" s="7" t="s">
        <v>22</v>
      </c>
      <c r="B32" s="7" t="s">
        <v>11</v>
      </c>
      <c r="C32" s="5">
        <v>10344</v>
      </c>
      <c r="D32" s="5">
        <v>4614</v>
      </c>
      <c r="E32" s="5">
        <v>5730</v>
      </c>
      <c r="F32" s="6">
        <v>249</v>
      </c>
      <c r="G32" s="8">
        <v>5481</v>
      </c>
      <c r="H32" s="8">
        <v>1359</v>
      </c>
      <c r="I32" s="8">
        <v>1610</v>
      </c>
      <c r="J32" s="8">
        <v>1960</v>
      </c>
      <c r="K32" s="10">
        <v>317</v>
      </c>
      <c r="L32" s="10">
        <v>235</v>
      </c>
      <c r="M32" s="92">
        <f t="shared" si="9"/>
        <v>692</v>
      </c>
      <c r="N32" s="75">
        <f t="shared" si="7"/>
        <v>457</v>
      </c>
      <c r="O32" s="60">
        <f t="shared" si="10"/>
        <v>0.51815008726003486</v>
      </c>
      <c r="P32" s="56">
        <f t="shared" si="11"/>
        <v>0.43839441535776613</v>
      </c>
      <c r="Q32" s="89">
        <f t="shared" si="12"/>
        <v>7.9755671902268732E-2</v>
      </c>
      <c r="R32" s="44">
        <f t="shared" si="8"/>
        <v>0.45831052727604454</v>
      </c>
      <c r="S32" s="61">
        <f t="shared" si="13"/>
        <v>5.983955998399032E-2</v>
      </c>
    </row>
    <row r="33" spans="1:19" ht="15.6" customHeight="1" x14ac:dyDescent="0.4">
      <c r="A33" s="4" t="s">
        <v>22</v>
      </c>
      <c r="B33" s="4" t="s">
        <v>15</v>
      </c>
      <c r="C33" s="5">
        <v>2114</v>
      </c>
      <c r="D33" s="6">
        <v>0</v>
      </c>
      <c r="E33" s="5">
        <v>2114</v>
      </c>
      <c r="F33" s="6">
        <v>95</v>
      </c>
      <c r="G33" s="5">
        <v>2019</v>
      </c>
      <c r="H33" s="6">
        <v>635</v>
      </c>
      <c r="I33" s="6">
        <v>717</v>
      </c>
      <c r="J33" s="6">
        <v>520</v>
      </c>
      <c r="K33" s="6">
        <v>78</v>
      </c>
      <c r="L33" s="6">
        <v>69</v>
      </c>
      <c r="M33" s="93">
        <f t="shared" si="9"/>
        <v>754</v>
      </c>
      <c r="N33" s="43">
        <f t="shared" si="7"/>
        <v>685</v>
      </c>
      <c r="O33" s="44">
        <f t="shared" si="10"/>
        <v>0.63954588457899719</v>
      </c>
      <c r="P33" s="44">
        <f t="shared" si="11"/>
        <v>0.315515610217597</v>
      </c>
      <c r="Q33" s="90">
        <f t="shared" si="12"/>
        <v>0.32403027436140019</v>
      </c>
      <c r="R33" s="44">
        <f t="shared" si="8"/>
        <v>0.33036156513125309</v>
      </c>
      <c r="S33" s="44">
        <f t="shared" si="13"/>
        <v>0.3091843194477441</v>
      </c>
    </row>
    <row r="34" spans="1:19" ht="15.6" customHeight="1" x14ac:dyDescent="0.4">
      <c r="A34" s="4" t="s">
        <v>22</v>
      </c>
      <c r="B34" s="4" t="s">
        <v>16</v>
      </c>
      <c r="C34" s="5">
        <v>8230</v>
      </c>
      <c r="D34" s="5">
        <v>4614</v>
      </c>
      <c r="E34" s="5">
        <v>3616</v>
      </c>
      <c r="F34" s="6">
        <v>154</v>
      </c>
      <c r="G34" s="5">
        <v>3462</v>
      </c>
      <c r="H34" s="6">
        <v>724</v>
      </c>
      <c r="I34" s="6">
        <v>893</v>
      </c>
      <c r="J34" s="5">
        <v>1440</v>
      </c>
      <c r="K34" s="6">
        <v>239</v>
      </c>
      <c r="L34" s="6">
        <v>166</v>
      </c>
      <c r="M34" s="93">
        <f t="shared" si="9"/>
        <v>-62</v>
      </c>
      <c r="N34" s="43">
        <f t="shared" si="7"/>
        <v>-228</v>
      </c>
      <c r="O34" s="44">
        <f t="shared" si="10"/>
        <v>0.44717920353982299</v>
      </c>
      <c r="P34" s="44">
        <f t="shared" si="11"/>
        <v>0.51023230088495575</v>
      </c>
      <c r="Q34" s="90">
        <f t="shared" si="12"/>
        <v>-6.3053097345132758E-2</v>
      </c>
      <c r="R34" s="44">
        <f t="shared" si="8"/>
        <v>0.53292894280762571</v>
      </c>
      <c r="S34" s="44">
        <f t="shared" si="13"/>
        <v>-8.5749739267802716E-2</v>
      </c>
    </row>
    <row r="35" spans="1:19" s="57" customFormat="1" ht="15.6" customHeight="1" x14ac:dyDescent="0.4">
      <c r="A35" s="7" t="s">
        <v>26</v>
      </c>
      <c r="B35" s="7" t="s">
        <v>11</v>
      </c>
      <c r="C35" s="5">
        <v>6257</v>
      </c>
      <c r="D35" s="5">
        <v>2683</v>
      </c>
      <c r="E35" s="5">
        <v>3574</v>
      </c>
      <c r="F35" s="6">
        <v>161</v>
      </c>
      <c r="G35" s="8">
        <v>3413</v>
      </c>
      <c r="H35" s="10">
        <v>749</v>
      </c>
      <c r="I35" s="10">
        <v>586</v>
      </c>
      <c r="J35" s="10">
        <v>555</v>
      </c>
      <c r="K35" s="10">
        <v>846</v>
      </c>
      <c r="L35" s="10">
        <v>677</v>
      </c>
      <c r="M35" s="94">
        <f t="shared" si="9"/>
        <v>-66</v>
      </c>
      <c r="N35" s="74">
        <f t="shared" si="7"/>
        <v>-743</v>
      </c>
      <c r="O35" s="56">
        <f t="shared" si="10"/>
        <v>0.37353105763850025</v>
      </c>
      <c r="P35" s="63">
        <f t="shared" si="11"/>
        <v>0.58142137660884163</v>
      </c>
      <c r="Q35" s="91">
        <f t="shared" si="12"/>
        <v>-0.20789031897034138</v>
      </c>
      <c r="R35" s="77">
        <f t="shared" si="8"/>
        <v>0.60884852036331671</v>
      </c>
      <c r="S35" s="77">
        <f t="shared" si="13"/>
        <v>-0.23531746272481646</v>
      </c>
    </row>
    <row r="36" spans="1:19" ht="15.6" customHeight="1" x14ac:dyDescent="0.4">
      <c r="A36" s="4" t="s">
        <v>26</v>
      </c>
      <c r="B36" s="4" t="s">
        <v>15</v>
      </c>
      <c r="C36" s="5">
        <v>1092</v>
      </c>
      <c r="D36" s="6">
        <v>0</v>
      </c>
      <c r="E36" s="5">
        <v>1092</v>
      </c>
      <c r="F36" s="6">
        <v>32</v>
      </c>
      <c r="G36" s="5">
        <v>1060</v>
      </c>
      <c r="H36" s="6">
        <v>257</v>
      </c>
      <c r="I36" s="6">
        <v>240</v>
      </c>
      <c r="J36" s="6">
        <v>161</v>
      </c>
      <c r="K36" s="6">
        <v>179</v>
      </c>
      <c r="L36" s="6">
        <v>223</v>
      </c>
      <c r="M36" s="93">
        <f t="shared" si="9"/>
        <v>157</v>
      </c>
      <c r="N36" s="43">
        <f t="shared" si="7"/>
        <v>-66</v>
      </c>
      <c r="O36" s="44">
        <f t="shared" si="10"/>
        <v>0.45512820512820512</v>
      </c>
      <c r="P36" s="44">
        <f t="shared" si="11"/>
        <v>0.51556776556776551</v>
      </c>
      <c r="Q36" s="90">
        <f t="shared" si="12"/>
        <v>-6.0439560439560391E-2</v>
      </c>
      <c r="R36" s="44">
        <f t="shared" si="8"/>
        <v>0.53113207547169816</v>
      </c>
      <c r="S36" s="44">
        <f t="shared" si="13"/>
        <v>-7.6003870343493041E-2</v>
      </c>
    </row>
    <row r="37" spans="1:19" ht="15.6" customHeight="1" x14ac:dyDescent="0.4">
      <c r="A37" s="4" t="s">
        <v>26</v>
      </c>
      <c r="B37" s="4" t="s">
        <v>16</v>
      </c>
      <c r="C37" s="5">
        <v>5165</v>
      </c>
      <c r="D37" s="5">
        <v>2683</v>
      </c>
      <c r="E37" s="5">
        <v>2482</v>
      </c>
      <c r="F37" s="6">
        <v>129</v>
      </c>
      <c r="G37" s="5">
        <v>2353</v>
      </c>
      <c r="H37" s="6">
        <v>492</v>
      </c>
      <c r="I37" s="6">
        <v>346</v>
      </c>
      <c r="J37" s="6">
        <v>394</v>
      </c>
      <c r="K37" s="6">
        <v>667</v>
      </c>
      <c r="L37" s="6">
        <v>454</v>
      </c>
      <c r="M37" s="95">
        <f t="shared" si="9"/>
        <v>-223</v>
      </c>
      <c r="N37" s="43">
        <f t="shared" si="7"/>
        <v>-677</v>
      </c>
      <c r="O37" s="44">
        <f t="shared" si="10"/>
        <v>0.33763094278807415</v>
      </c>
      <c r="P37" s="44">
        <f t="shared" si="11"/>
        <v>0.61039484286865431</v>
      </c>
      <c r="Q37" s="90">
        <f t="shared" si="12"/>
        <v>-0.27276390008058016</v>
      </c>
      <c r="R37" s="44">
        <f t="shared" si="8"/>
        <v>0.64385890352741182</v>
      </c>
      <c r="S37" s="44">
        <f t="shared" si="13"/>
        <v>-0.30622796073933767</v>
      </c>
    </row>
    <row r="38" spans="1:19" ht="15.6" customHeight="1" x14ac:dyDescent="0.4">
      <c r="A38" s="4" t="s">
        <v>17</v>
      </c>
      <c r="B38" s="4"/>
      <c r="C38" s="6">
        <v>0</v>
      </c>
      <c r="D38" s="6">
        <v>-5</v>
      </c>
      <c r="E38" s="6">
        <v>5</v>
      </c>
      <c r="F38" s="6">
        <v>0</v>
      </c>
      <c r="G38" s="6">
        <v>5</v>
      </c>
      <c r="H38" s="6">
        <v>3</v>
      </c>
      <c r="I38" s="6">
        <v>1</v>
      </c>
      <c r="J38" s="6">
        <v>0</v>
      </c>
      <c r="K38" s="6">
        <v>0</v>
      </c>
      <c r="L38" s="6">
        <v>1</v>
      </c>
      <c r="M38" s="96"/>
      <c r="N38" s="46"/>
      <c r="O38" s="44"/>
      <c r="P38" s="44"/>
      <c r="Q38" s="90"/>
      <c r="R38" s="44"/>
      <c r="S38" s="44"/>
    </row>
    <row r="39" spans="1:19" ht="15.6" customHeight="1" x14ac:dyDescent="0.4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spans="1:19" ht="15.6" customHeight="1" x14ac:dyDescent="0.4">
      <c r="A40" s="280" t="s">
        <v>75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Q40" s="28"/>
      <c r="R40" s="28"/>
      <c r="S40" s="28"/>
    </row>
    <row r="41" spans="1:19" ht="15.6" customHeight="1" x14ac:dyDescent="0.4">
      <c r="A41" s="288" t="s">
        <v>0</v>
      </c>
      <c r="B41" s="288" t="s">
        <v>1</v>
      </c>
      <c r="C41" s="288" t="s">
        <v>2</v>
      </c>
      <c r="D41" s="322" t="s">
        <v>6</v>
      </c>
      <c r="E41" s="271" t="s">
        <v>131</v>
      </c>
      <c r="F41" s="13" t="s">
        <v>5</v>
      </c>
      <c r="G41" s="287" t="s">
        <v>132</v>
      </c>
      <c r="H41" s="271" t="s">
        <v>4</v>
      </c>
      <c r="I41" s="271"/>
      <c r="J41" s="271"/>
      <c r="K41" s="271"/>
      <c r="L41" s="271"/>
      <c r="M41" s="340" t="s">
        <v>109</v>
      </c>
      <c r="N41" s="333"/>
      <c r="O41" s="334"/>
      <c r="Q41" s="28"/>
      <c r="R41" s="28"/>
      <c r="S41" s="28"/>
    </row>
    <row r="42" spans="1:19" ht="15.6" customHeight="1" x14ac:dyDescent="0.4">
      <c r="A42" s="271"/>
      <c r="B42" s="271"/>
      <c r="C42" s="271"/>
      <c r="D42" s="322"/>
      <c r="E42" s="271"/>
      <c r="F42" s="287" t="s">
        <v>3</v>
      </c>
      <c r="G42" s="322"/>
      <c r="H42" s="13" t="s">
        <v>137</v>
      </c>
      <c r="I42" s="13" t="s">
        <v>18</v>
      </c>
      <c r="J42" s="13" t="s">
        <v>20</v>
      </c>
      <c r="K42" s="13" t="s">
        <v>20</v>
      </c>
      <c r="L42" s="339" t="s">
        <v>111</v>
      </c>
      <c r="M42" s="335" t="s">
        <v>113</v>
      </c>
      <c r="N42" s="335" t="s">
        <v>94</v>
      </c>
      <c r="O42" s="337" t="s">
        <v>101</v>
      </c>
      <c r="Q42" s="28"/>
      <c r="R42" s="28"/>
      <c r="S42" s="28"/>
    </row>
    <row r="43" spans="1:19" ht="15.6" customHeight="1" x14ac:dyDescent="0.4">
      <c r="A43" s="271"/>
      <c r="B43" s="271"/>
      <c r="C43" s="271"/>
      <c r="D43" s="288"/>
      <c r="E43" s="271"/>
      <c r="F43" s="288"/>
      <c r="G43" s="288"/>
      <c r="H43" s="3" t="s">
        <v>54</v>
      </c>
      <c r="I43" s="3" t="s">
        <v>55</v>
      </c>
      <c r="J43" s="3" t="s">
        <v>56</v>
      </c>
      <c r="K43" s="3" t="s">
        <v>57</v>
      </c>
      <c r="L43" s="321"/>
      <c r="M43" s="336"/>
      <c r="N43" s="336"/>
      <c r="O43" s="338"/>
      <c r="Q43" s="28"/>
      <c r="R43" s="28"/>
      <c r="S43" s="28"/>
    </row>
    <row r="44" spans="1:19" s="57" customFormat="1" ht="15.6" customHeight="1" x14ac:dyDescent="0.4">
      <c r="A44" s="7" t="s">
        <v>12</v>
      </c>
      <c r="B44" s="7"/>
      <c r="C44" s="5">
        <v>14110</v>
      </c>
      <c r="D44" s="5">
        <v>5052</v>
      </c>
      <c r="E44" s="5">
        <v>9058</v>
      </c>
      <c r="F44" s="6">
        <v>765</v>
      </c>
      <c r="G44" s="8">
        <v>8293</v>
      </c>
      <c r="H44" s="8">
        <v>2001</v>
      </c>
      <c r="I44" s="8">
        <v>1954</v>
      </c>
      <c r="J44" s="8">
        <v>2929</v>
      </c>
      <c r="K44" s="8">
        <v>1409</v>
      </c>
      <c r="L44" s="94">
        <f t="shared" ref="L44:L55" si="14">(H44+I44)-(J44+K44)</f>
        <v>-383</v>
      </c>
      <c r="M44" s="64">
        <f>(H44+I44)/G44</f>
        <v>0.47690823586157</v>
      </c>
      <c r="N44" s="63">
        <f>(J44+K44)/G44</f>
        <v>0.52309176413842995</v>
      </c>
      <c r="O44" s="91">
        <f>M44-N44</f>
        <v>-4.6183528276859953E-2</v>
      </c>
      <c r="Q44" s="29"/>
      <c r="R44" s="29"/>
      <c r="S44" s="29"/>
    </row>
    <row r="45" spans="1:19" s="57" customFormat="1" ht="15.6" customHeight="1" x14ac:dyDescent="0.4">
      <c r="A45" s="7" t="s">
        <v>13</v>
      </c>
      <c r="B45" s="7"/>
      <c r="C45" s="6">
        <v>36</v>
      </c>
      <c r="D45" s="6">
        <v>4</v>
      </c>
      <c r="E45" s="6">
        <v>32</v>
      </c>
      <c r="F45" s="6">
        <v>0</v>
      </c>
      <c r="G45" s="10">
        <v>32</v>
      </c>
      <c r="H45" s="10">
        <v>10</v>
      </c>
      <c r="I45" s="10">
        <v>5</v>
      </c>
      <c r="J45" s="10">
        <v>9</v>
      </c>
      <c r="K45" s="10">
        <v>8</v>
      </c>
      <c r="L45" s="94">
        <f t="shared" si="14"/>
        <v>-2</v>
      </c>
      <c r="M45" s="64">
        <f t="shared" ref="M45:M55" si="15">(H45+I45)/G45</f>
        <v>0.46875</v>
      </c>
      <c r="N45" s="63">
        <f t="shared" ref="N45:N55" si="16">(J45+K45)/G45</f>
        <v>0.53125</v>
      </c>
      <c r="O45" s="91">
        <f t="shared" ref="O45:O55" si="17">M45-N45</f>
        <v>-6.25E-2</v>
      </c>
      <c r="Q45" s="29"/>
      <c r="R45" s="29"/>
      <c r="S45" s="29"/>
    </row>
    <row r="46" spans="1:19" s="57" customFormat="1" ht="15.6" customHeight="1" x14ac:dyDescent="0.4">
      <c r="A46" s="7" t="s">
        <v>14</v>
      </c>
      <c r="B46" s="7"/>
      <c r="C46" s="6">
        <v>820</v>
      </c>
      <c r="D46" s="6">
        <v>0</v>
      </c>
      <c r="E46" s="6">
        <v>820</v>
      </c>
      <c r="F46" s="6">
        <v>47</v>
      </c>
      <c r="G46" s="10">
        <v>773</v>
      </c>
      <c r="H46" s="10">
        <v>235</v>
      </c>
      <c r="I46" s="10">
        <v>191</v>
      </c>
      <c r="J46" s="10">
        <v>232</v>
      </c>
      <c r="K46" s="10">
        <v>115</v>
      </c>
      <c r="L46" s="92">
        <f t="shared" si="14"/>
        <v>79</v>
      </c>
      <c r="M46" s="60">
        <f t="shared" si="15"/>
        <v>0.55109961190168177</v>
      </c>
      <c r="N46" s="56">
        <f t="shared" si="16"/>
        <v>0.44890038809831823</v>
      </c>
      <c r="O46" s="89">
        <f t="shared" si="17"/>
        <v>0.10219922380336355</v>
      </c>
      <c r="Q46" s="29"/>
      <c r="R46" s="29"/>
      <c r="S46" s="29"/>
    </row>
    <row r="47" spans="1:19" s="57" customFormat="1" ht="15.6" customHeight="1" x14ac:dyDescent="0.4">
      <c r="A47" s="7" t="s">
        <v>23</v>
      </c>
      <c r="B47" s="7" t="s">
        <v>11</v>
      </c>
      <c r="C47" s="5">
        <v>5911</v>
      </c>
      <c r="D47" s="5">
        <v>2242</v>
      </c>
      <c r="E47" s="5">
        <v>3669</v>
      </c>
      <c r="F47" s="6">
        <v>321</v>
      </c>
      <c r="G47" s="8">
        <v>3348</v>
      </c>
      <c r="H47" s="10">
        <v>812</v>
      </c>
      <c r="I47" s="8">
        <v>1197</v>
      </c>
      <c r="J47" s="10">
        <v>933</v>
      </c>
      <c r="K47" s="10">
        <v>406</v>
      </c>
      <c r="L47" s="92">
        <f t="shared" si="14"/>
        <v>670</v>
      </c>
      <c r="M47" s="60">
        <f t="shared" si="15"/>
        <v>0.6000597371565114</v>
      </c>
      <c r="N47" s="56">
        <f t="shared" si="16"/>
        <v>0.39994026284348866</v>
      </c>
      <c r="O47" s="89">
        <f t="shared" si="17"/>
        <v>0.20011947431302274</v>
      </c>
      <c r="Q47" s="29"/>
      <c r="R47" s="29"/>
      <c r="S47" s="29"/>
    </row>
    <row r="48" spans="1:19" ht="15.6" customHeight="1" x14ac:dyDescent="0.4">
      <c r="A48" s="4" t="s">
        <v>23</v>
      </c>
      <c r="B48" s="4" t="s">
        <v>15</v>
      </c>
      <c r="C48" s="5">
        <v>1424</v>
      </c>
      <c r="D48" s="6">
        <v>5</v>
      </c>
      <c r="E48" s="5">
        <v>1419</v>
      </c>
      <c r="F48" s="6">
        <v>99</v>
      </c>
      <c r="G48" s="5">
        <v>1320</v>
      </c>
      <c r="H48" s="6">
        <v>368</v>
      </c>
      <c r="I48" s="6">
        <v>588</v>
      </c>
      <c r="J48" s="6">
        <v>262</v>
      </c>
      <c r="K48" s="6">
        <v>102</v>
      </c>
      <c r="L48" s="93">
        <f t="shared" si="14"/>
        <v>592</v>
      </c>
      <c r="M48" s="44">
        <f t="shared" si="15"/>
        <v>0.72424242424242424</v>
      </c>
      <c r="N48" s="44">
        <f t="shared" si="16"/>
        <v>0.27575757575757576</v>
      </c>
      <c r="O48" s="90">
        <f t="shared" si="17"/>
        <v>0.44848484848484849</v>
      </c>
      <c r="Q48" s="28"/>
      <c r="R48" s="28"/>
      <c r="S48" s="28"/>
    </row>
    <row r="49" spans="1:19" ht="15.6" customHeight="1" x14ac:dyDescent="0.4">
      <c r="A49" s="4" t="s">
        <v>23</v>
      </c>
      <c r="B49" s="4" t="s">
        <v>16</v>
      </c>
      <c r="C49" s="5">
        <v>4487</v>
      </c>
      <c r="D49" s="5">
        <v>2237</v>
      </c>
      <c r="E49" s="5">
        <v>2250</v>
      </c>
      <c r="F49" s="6">
        <v>222</v>
      </c>
      <c r="G49" s="5">
        <v>2028</v>
      </c>
      <c r="H49" s="6">
        <v>444</v>
      </c>
      <c r="I49" s="6">
        <v>609</v>
      </c>
      <c r="J49" s="6">
        <v>671</v>
      </c>
      <c r="K49" s="6">
        <v>304</v>
      </c>
      <c r="L49" s="93">
        <f t="shared" si="14"/>
        <v>78</v>
      </c>
      <c r="M49" s="44">
        <f t="shared" si="15"/>
        <v>0.51923076923076927</v>
      </c>
      <c r="N49" s="44">
        <f t="shared" si="16"/>
        <v>0.48076923076923078</v>
      </c>
      <c r="O49" s="90">
        <f t="shared" si="17"/>
        <v>3.8461538461538491E-2</v>
      </c>
      <c r="Q49" s="28"/>
      <c r="R49" s="28"/>
      <c r="S49" s="28"/>
    </row>
    <row r="50" spans="1:19" s="57" customFormat="1" ht="15.6" customHeight="1" x14ac:dyDescent="0.4">
      <c r="A50" s="7" t="s">
        <v>24</v>
      </c>
      <c r="B50" s="7" t="s">
        <v>11</v>
      </c>
      <c r="C50" s="5">
        <v>4473</v>
      </c>
      <c r="D50" s="5">
        <v>1807</v>
      </c>
      <c r="E50" s="5">
        <v>2666</v>
      </c>
      <c r="F50" s="6">
        <v>216</v>
      </c>
      <c r="G50" s="8">
        <v>2450</v>
      </c>
      <c r="H50" s="10">
        <v>530</v>
      </c>
      <c r="I50" s="10">
        <v>357</v>
      </c>
      <c r="J50" s="8">
        <v>1407</v>
      </c>
      <c r="K50" s="10">
        <v>156</v>
      </c>
      <c r="L50" s="94">
        <f t="shared" si="14"/>
        <v>-676</v>
      </c>
      <c r="M50" s="56">
        <f t="shared" si="15"/>
        <v>0.36204081632653062</v>
      </c>
      <c r="N50" s="63">
        <f t="shared" si="16"/>
        <v>0.63795918367346938</v>
      </c>
      <c r="O50" s="91">
        <f t="shared" si="17"/>
        <v>-0.27591836734693875</v>
      </c>
      <c r="Q50" s="29"/>
      <c r="R50" s="29"/>
      <c r="S50" s="29"/>
    </row>
    <row r="51" spans="1:19" ht="15.6" customHeight="1" x14ac:dyDescent="0.4">
      <c r="A51" s="4" t="s">
        <v>24</v>
      </c>
      <c r="B51" s="4" t="s">
        <v>15</v>
      </c>
      <c r="C51" s="6">
        <v>829</v>
      </c>
      <c r="D51" s="6">
        <v>1</v>
      </c>
      <c r="E51" s="6">
        <v>828</v>
      </c>
      <c r="F51" s="6">
        <v>46</v>
      </c>
      <c r="G51" s="6">
        <v>782</v>
      </c>
      <c r="H51" s="6">
        <v>210</v>
      </c>
      <c r="I51" s="6">
        <v>140</v>
      </c>
      <c r="J51" s="6">
        <v>397</v>
      </c>
      <c r="K51" s="6">
        <v>35</v>
      </c>
      <c r="L51" s="93">
        <f t="shared" si="14"/>
        <v>-82</v>
      </c>
      <c r="M51" s="44">
        <f t="shared" si="15"/>
        <v>0.4475703324808184</v>
      </c>
      <c r="N51" s="44">
        <f t="shared" si="16"/>
        <v>0.55242966751918154</v>
      </c>
      <c r="O51" s="90">
        <f t="shared" si="17"/>
        <v>-0.10485933503836314</v>
      </c>
      <c r="Q51" s="28"/>
      <c r="R51" s="28"/>
      <c r="S51" s="28"/>
    </row>
    <row r="52" spans="1:19" ht="15.6" customHeight="1" x14ac:dyDescent="0.4">
      <c r="A52" s="4" t="s">
        <v>24</v>
      </c>
      <c r="B52" s="4" t="s">
        <v>16</v>
      </c>
      <c r="C52" s="5">
        <v>3644</v>
      </c>
      <c r="D52" s="5">
        <v>1806</v>
      </c>
      <c r="E52" s="5">
        <v>1838</v>
      </c>
      <c r="F52" s="6">
        <v>170</v>
      </c>
      <c r="G52" s="5">
        <v>1668</v>
      </c>
      <c r="H52" s="6">
        <v>320</v>
      </c>
      <c r="I52" s="6">
        <v>217</v>
      </c>
      <c r="J52" s="5">
        <v>1010</v>
      </c>
      <c r="K52" s="6">
        <v>121</v>
      </c>
      <c r="L52" s="93">
        <f t="shared" si="14"/>
        <v>-594</v>
      </c>
      <c r="M52" s="44">
        <f t="shared" si="15"/>
        <v>0.32194244604316546</v>
      </c>
      <c r="N52" s="44">
        <f t="shared" si="16"/>
        <v>0.67805755395683454</v>
      </c>
      <c r="O52" s="90">
        <f t="shared" si="17"/>
        <v>-0.35611510791366907</v>
      </c>
      <c r="Q52" s="28"/>
      <c r="R52" s="28"/>
      <c r="S52" s="28"/>
    </row>
    <row r="53" spans="1:19" s="57" customFormat="1" ht="15.6" customHeight="1" x14ac:dyDescent="0.4">
      <c r="A53" s="7" t="s">
        <v>25</v>
      </c>
      <c r="B53" s="7" t="s">
        <v>11</v>
      </c>
      <c r="C53" s="5">
        <v>2870</v>
      </c>
      <c r="D53" s="5">
        <v>1020</v>
      </c>
      <c r="E53" s="5">
        <v>1850</v>
      </c>
      <c r="F53" s="6">
        <v>175</v>
      </c>
      <c r="G53" s="8">
        <v>1675</v>
      </c>
      <c r="H53" s="10">
        <v>410</v>
      </c>
      <c r="I53" s="10">
        <v>198</v>
      </c>
      <c r="J53" s="10">
        <v>343</v>
      </c>
      <c r="K53" s="10">
        <v>724</v>
      </c>
      <c r="L53" s="94">
        <f t="shared" si="14"/>
        <v>-459</v>
      </c>
      <c r="M53" s="56">
        <f t="shared" si="15"/>
        <v>0.36298507462686569</v>
      </c>
      <c r="N53" s="63">
        <f t="shared" si="16"/>
        <v>0.63701492537313431</v>
      </c>
      <c r="O53" s="91">
        <f t="shared" si="17"/>
        <v>-0.27402985074626862</v>
      </c>
      <c r="Q53" s="29"/>
      <c r="R53" s="29"/>
      <c r="S53" s="58"/>
    </row>
    <row r="54" spans="1:19" ht="15.6" customHeight="1" x14ac:dyDescent="0.4">
      <c r="A54" s="4" t="s">
        <v>25</v>
      </c>
      <c r="B54" s="4" t="s">
        <v>15</v>
      </c>
      <c r="C54" s="6">
        <v>685</v>
      </c>
      <c r="D54" s="6">
        <v>1</v>
      </c>
      <c r="E54" s="6">
        <v>684</v>
      </c>
      <c r="F54" s="6">
        <v>50</v>
      </c>
      <c r="G54" s="6">
        <v>634</v>
      </c>
      <c r="H54" s="6">
        <v>204</v>
      </c>
      <c r="I54" s="6">
        <v>76</v>
      </c>
      <c r="J54" s="6">
        <v>97</v>
      </c>
      <c r="K54" s="6">
        <v>257</v>
      </c>
      <c r="L54" s="93">
        <f t="shared" si="14"/>
        <v>-74</v>
      </c>
      <c r="M54" s="44">
        <f t="shared" si="15"/>
        <v>0.44164037854889587</v>
      </c>
      <c r="N54" s="44">
        <f t="shared" si="16"/>
        <v>0.55835962145110407</v>
      </c>
      <c r="O54" s="90">
        <f t="shared" si="17"/>
        <v>-0.1167192429022082</v>
      </c>
      <c r="Q54" s="28"/>
      <c r="R54" s="28"/>
      <c r="S54" s="45"/>
    </row>
    <row r="55" spans="1:19" ht="15.6" customHeight="1" x14ac:dyDescent="0.4">
      <c r="A55" s="4" t="s">
        <v>25</v>
      </c>
      <c r="B55" s="4" t="s">
        <v>16</v>
      </c>
      <c r="C55" s="5">
        <v>2185</v>
      </c>
      <c r="D55" s="5">
        <v>1019</v>
      </c>
      <c r="E55" s="5">
        <v>1166</v>
      </c>
      <c r="F55" s="6">
        <v>125</v>
      </c>
      <c r="G55" s="5">
        <v>1041</v>
      </c>
      <c r="H55" s="6">
        <v>206</v>
      </c>
      <c r="I55" s="6">
        <v>122</v>
      </c>
      <c r="J55" s="6">
        <v>246</v>
      </c>
      <c r="K55" s="6">
        <v>467</v>
      </c>
      <c r="L55" s="93">
        <f t="shared" si="14"/>
        <v>-385</v>
      </c>
      <c r="M55" s="44">
        <f t="shared" si="15"/>
        <v>0.31508165225744478</v>
      </c>
      <c r="N55" s="44">
        <f t="shared" si="16"/>
        <v>0.68491834774255522</v>
      </c>
      <c r="O55" s="90">
        <f t="shared" si="17"/>
        <v>-0.36983669548511044</v>
      </c>
      <c r="Q55" s="28"/>
      <c r="R55" s="28"/>
      <c r="S55" s="45"/>
    </row>
    <row r="56" spans="1:19" ht="15.6" customHeight="1" x14ac:dyDescent="0.4">
      <c r="A56" s="4" t="s">
        <v>17</v>
      </c>
      <c r="B56" s="4"/>
      <c r="C56" s="6">
        <v>0</v>
      </c>
      <c r="D56" s="6">
        <v>-21</v>
      </c>
      <c r="E56" s="6">
        <v>21</v>
      </c>
      <c r="F56" s="6">
        <v>6</v>
      </c>
      <c r="G56" s="6">
        <v>15</v>
      </c>
      <c r="H56" s="6">
        <v>4</v>
      </c>
      <c r="I56" s="6">
        <v>6</v>
      </c>
      <c r="J56" s="6">
        <v>5</v>
      </c>
      <c r="K56" s="6">
        <v>0</v>
      </c>
      <c r="L56" s="96"/>
      <c r="M56" s="44"/>
      <c r="N56" s="44"/>
      <c r="O56" s="90"/>
      <c r="Q56" s="28"/>
      <c r="R56" s="28"/>
    </row>
  </sheetData>
  <mergeCells count="50">
    <mergeCell ref="N42:N43"/>
    <mergeCell ref="O42:O43"/>
    <mergeCell ref="M27:M28"/>
    <mergeCell ref="N27:N28"/>
    <mergeCell ref="H26:N26"/>
    <mergeCell ref="M41:O41"/>
    <mergeCell ref="C26:C28"/>
    <mergeCell ref="E26:E28"/>
    <mergeCell ref="D26:D28"/>
    <mergeCell ref="F27:F28"/>
    <mergeCell ref="A40:O40"/>
    <mergeCell ref="G26:G28"/>
    <mergeCell ref="A41:A43"/>
    <mergeCell ref="F42:F43"/>
    <mergeCell ref="O27:O28"/>
    <mergeCell ref="D2:D4"/>
    <mergeCell ref="F3:F4"/>
    <mergeCell ref="A26:A28"/>
    <mergeCell ref="B26:B28"/>
    <mergeCell ref="B41:B43"/>
    <mergeCell ref="C41:C43"/>
    <mergeCell ref="E41:E43"/>
    <mergeCell ref="D41:D43"/>
    <mergeCell ref="H41:L41"/>
    <mergeCell ref="G41:G43"/>
    <mergeCell ref="M42:M43"/>
    <mergeCell ref="L42:L43"/>
    <mergeCell ref="G2:G4"/>
    <mergeCell ref="R26:S26"/>
    <mergeCell ref="R27:R28"/>
    <mergeCell ref="S27:S28"/>
    <mergeCell ref="N3:N4"/>
    <mergeCell ref="Q3:Q4"/>
    <mergeCell ref="P27:P28"/>
    <mergeCell ref="O26:Q26"/>
    <mergeCell ref="Q27:Q28"/>
    <mergeCell ref="A1:Q1"/>
    <mergeCell ref="A25:S25"/>
    <mergeCell ref="H2:L2"/>
    <mergeCell ref="K3:K4"/>
    <mergeCell ref="L3:L4"/>
    <mergeCell ref="O3:O4"/>
    <mergeCell ref="P3:P4"/>
    <mergeCell ref="M2:O2"/>
    <mergeCell ref="P2:Q2"/>
    <mergeCell ref="M3:M4"/>
    <mergeCell ref="A2:A4"/>
    <mergeCell ref="B2:B4"/>
    <mergeCell ref="C2:C4"/>
    <mergeCell ref="E2:E4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E5AB-CDFC-4E49-A922-4EB5114982B3}">
  <dimension ref="A1:R46"/>
  <sheetViews>
    <sheetView topLeftCell="A28" workbookViewId="0">
      <selection activeCell="L5" sqref="L5"/>
    </sheetView>
  </sheetViews>
  <sheetFormatPr defaultRowHeight="17.399999999999999" customHeight="1" x14ac:dyDescent="0.4"/>
  <cols>
    <col min="1" max="16384" width="8.796875" style="28"/>
  </cols>
  <sheetData>
    <row r="1" spans="1:13" ht="17.399999999999999" customHeight="1" x14ac:dyDescent="0.4">
      <c r="A1" s="343" t="s">
        <v>82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5"/>
    </row>
    <row r="2" spans="1:13" ht="17.399999999999999" customHeight="1" x14ac:dyDescent="0.4">
      <c r="A2" s="271" t="s">
        <v>0</v>
      </c>
      <c r="B2" s="271" t="s">
        <v>1</v>
      </c>
      <c r="C2" s="271" t="s">
        <v>2</v>
      </c>
      <c r="D2" s="271" t="s">
        <v>6</v>
      </c>
      <c r="E2" s="271" t="s">
        <v>131</v>
      </c>
      <c r="F2" s="3" t="s">
        <v>5</v>
      </c>
      <c r="G2" s="287" t="s">
        <v>132</v>
      </c>
      <c r="H2" s="271" t="s">
        <v>4</v>
      </c>
      <c r="I2" s="271"/>
      <c r="J2" s="271"/>
      <c r="K2" s="340" t="s">
        <v>109</v>
      </c>
      <c r="L2" s="333"/>
      <c r="M2" s="334"/>
    </row>
    <row r="3" spans="1:13" ht="17.399999999999999" customHeight="1" x14ac:dyDescent="0.4">
      <c r="A3" s="271"/>
      <c r="B3" s="271"/>
      <c r="C3" s="271"/>
      <c r="D3" s="271"/>
      <c r="E3" s="271"/>
      <c r="F3" s="287" t="s">
        <v>3</v>
      </c>
      <c r="G3" s="322"/>
      <c r="H3" s="3" t="s">
        <v>18</v>
      </c>
      <c r="I3" s="3" t="s">
        <v>20</v>
      </c>
      <c r="J3" s="272" t="s">
        <v>107</v>
      </c>
      <c r="K3" s="335" t="s">
        <v>114</v>
      </c>
      <c r="L3" s="335" t="s">
        <v>97</v>
      </c>
      <c r="M3" s="337" t="s">
        <v>101</v>
      </c>
    </row>
    <row r="4" spans="1:13" ht="17.399999999999999" customHeight="1" x14ac:dyDescent="0.4">
      <c r="A4" s="271"/>
      <c r="B4" s="271"/>
      <c r="C4" s="271"/>
      <c r="D4" s="271"/>
      <c r="E4" s="271"/>
      <c r="F4" s="288"/>
      <c r="G4" s="288"/>
      <c r="H4" s="3" t="s">
        <v>45</v>
      </c>
      <c r="I4" s="3" t="s">
        <v>46</v>
      </c>
      <c r="J4" s="272"/>
      <c r="K4" s="336"/>
      <c r="L4" s="336"/>
      <c r="M4" s="338"/>
    </row>
    <row r="5" spans="1:13" ht="17.399999999999999" customHeight="1" x14ac:dyDescent="0.4">
      <c r="A5" s="7" t="s">
        <v>12</v>
      </c>
      <c r="B5" s="7"/>
      <c r="C5" s="5">
        <v>55936</v>
      </c>
      <c r="D5" s="5">
        <v>22941</v>
      </c>
      <c r="E5" s="5">
        <v>32995</v>
      </c>
      <c r="F5" s="6">
        <v>708</v>
      </c>
      <c r="G5" s="8">
        <v>32287</v>
      </c>
      <c r="H5" s="9">
        <v>18048</v>
      </c>
      <c r="I5" s="8">
        <v>14239</v>
      </c>
      <c r="J5" s="97">
        <f t="shared" ref="J5:J16" si="0">H5-I5</f>
        <v>3809</v>
      </c>
      <c r="K5" s="35">
        <f>H5/G5</f>
        <v>0.55898658902964038</v>
      </c>
      <c r="L5" s="32">
        <f>I5/G5</f>
        <v>0.44101341097035957</v>
      </c>
      <c r="M5" s="82">
        <f>K5-L5</f>
        <v>0.11797317805928081</v>
      </c>
    </row>
    <row r="6" spans="1:13" ht="17.399999999999999" customHeight="1" x14ac:dyDescent="0.4">
      <c r="A6" s="7" t="s">
        <v>13</v>
      </c>
      <c r="B6" s="7"/>
      <c r="C6" s="6">
        <v>122</v>
      </c>
      <c r="D6" s="6">
        <v>6</v>
      </c>
      <c r="E6" s="6">
        <v>116</v>
      </c>
      <c r="F6" s="6">
        <v>14</v>
      </c>
      <c r="G6" s="10">
        <v>102</v>
      </c>
      <c r="H6" s="59">
        <v>52</v>
      </c>
      <c r="I6" s="10">
        <v>50</v>
      </c>
      <c r="J6" s="97">
        <f t="shared" si="0"/>
        <v>2</v>
      </c>
      <c r="K6" s="35">
        <f t="shared" ref="K6:K16" si="1">H6/G6</f>
        <v>0.50980392156862742</v>
      </c>
      <c r="L6" s="32">
        <f t="shared" ref="L6:L16" si="2">I6/G6</f>
        <v>0.49019607843137253</v>
      </c>
      <c r="M6" s="82">
        <f t="shared" ref="M6:M16" si="3">K6-L6</f>
        <v>1.9607843137254888E-2</v>
      </c>
    </row>
    <row r="7" spans="1:13" ht="17.399999999999999" customHeight="1" x14ac:dyDescent="0.4">
      <c r="A7" s="7" t="s">
        <v>14</v>
      </c>
      <c r="B7" s="7"/>
      <c r="C7" s="5">
        <v>4062</v>
      </c>
      <c r="D7" s="6">
        <v>0</v>
      </c>
      <c r="E7" s="5">
        <v>4062</v>
      </c>
      <c r="F7" s="6">
        <v>107</v>
      </c>
      <c r="G7" s="8">
        <v>3955</v>
      </c>
      <c r="H7" s="9">
        <v>2551</v>
      </c>
      <c r="I7" s="8">
        <v>1404</v>
      </c>
      <c r="J7" s="97">
        <f t="shared" si="0"/>
        <v>1147</v>
      </c>
      <c r="K7" s="35">
        <f t="shared" si="1"/>
        <v>0.64500632111251577</v>
      </c>
      <c r="L7" s="32">
        <f t="shared" si="2"/>
        <v>0.35499367888748418</v>
      </c>
      <c r="M7" s="82">
        <f t="shared" si="3"/>
        <v>0.29001264222503159</v>
      </c>
    </row>
    <row r="8" spans="1:13" ht="17.399999999999999" customHeight="1" x14ac:dyDescent="0.4">
      <c r="A8" s="7" t="s">
        <v>27</v>
      </c>
      <c r="B8" s="7" t="s">
        <v>11</v>
      </c>
      <c r="C8" s="5">
        <v>12092</v>
      </c>
      <c r="D8" s="5">
        <v>5530</v>
      </c>
      <c r="E8" s="5">
        <v>6562</v>
      </c>
      <c r="F8" s="6">
        <v>112</v>
      </c>
      <c r="G8" s="8">
        <v>6450</v>
      </c>
      <c r="H8" s="9">
        <v>3854</v>
      </c>
      <c r="I8" s="8">
        <v>2596</v>
      </c>
      <c r="J8" s="97">
        <f t="shared" si="0"/>
        <v>1258</v>
      </c>
      <c r="K8" s="35">
        <f t="shared" si="1"/>
        <v>0.59751937984496128</v>
      </c>
      <c r="L8" s="32">
        <f t="shared" si="2"/>
        <v>0.40248062015503877</v>
      </c>
      <c r="M8" s="82">
        <f t="shared" si="3"/>
        <v>0.19503875968992251</v>
      </c>
    </row>
    <row r="9" spans="1:13" ht="17.399999999999999" customHeight="1" x14ac:dyDescent="0.4">
      <c r="A9" s="4" t="s">
        <v>27</v>
      </c>
      <c r="B9" s="4" t="s">
        <v>15</v>
      </c>
      <c r="C9" s="5">
        <v>2354</v>
      </c>
      <c r="D9" s="6">
        <v>2</v>
      </c>
      <c r="E9" s="5">
        <v>2352</v>
      </c>
      <c r="F9" s="6">
        <v>33</v>
      </c>
      <c r="G9" s="5">
        <v>2319</v>
      </c>
      <c r="H9" s="5">
        <v>1658</v>
      </c>
      <c r="I9" s="6">
        <v>661</v>
      </c>
      <c r="J9" s="98">
        <f t="shared" si="0"/>
        <v>997</v>
      </c>
      <c r="K9" s="33">
        <f t="shared" si="1"/>
        <v>0.71496334626994396</v>
      </c>
      <c r="L9" s="33">
        <f t="shared" si="2"/>
        <v>0.28503665373005604</v>
      </c>
      <c r="M9" s="87">
        <f t="shared" si="3"/>
        <v>0.42992669253988791</v>
      </c>
    </row>
    <row r="10" spans="1:13" ht="17.399999999999999" customHeight="1" x14ac:dyDescent="0.4">
      <c r="A10" s="4" t="s">
        <v>27</v>
      </c>
      <c r="B10" s="4" t="s">
        <v>16</v>
      </c>
      <c r="C10" s="5">
        <v>9738</v>
      </c>
      <c r="D10" s="5">
        <v>5528</v>
      </c>
      <c r="E10" s="5">
        <v>4210</v>
      </c>
      <c r="F10" s="6">
        <v>79</v>
      </c>
      <c r="G10" s="5">
        <v>4131</v>
      </c>
      <c r="H10" s="5">
        <v>2196</v>
      </c>
      <c r="I10" s="5">
        <v>1935</v>
      </c>
      <c r="J10" s="98">
        <f t="shared" si="0"/>
        <v>261</v>
      </c>
      <c r="K10" s="33">
        <f t="shared" si="1"/>
        <v>0.53159041394335516</v>
      </c>
      <c r="L10" s="33">
        <f t="shared" si="2"/>
        <v>0.4684095860566449</v>
      </c>
      <c r="M10" s="87">
        <f t="shared" si="3"/>
        <v>6.3180827886710256E-2</v>
      </c>
    </row>
    <row r="11" spans="1:13" ht="17.399999999999999" customHeight="1" x14ac:dyDescent="0.4">
      <c r="A11" s="7" t="s">
        <v>32</v>
      </c>
      <c r="B11" s="7" t="s">
        <v>11</v>
      </c>
      <c r="C11" s="5">
        <v>14333</v>
      </c>
      <c r="D11" s="5">
        <v>6419</v>
      </c>
      <c r="E11" s="5">
        <v>7914</v>
      </c>
      <c r="F11" s="6">
        <v>188</v>
      </c>
      <c r="G11" s="8">
        <v>7726</v>
      </c>
      <c r="H11" s="9">
        <v>3977</v>
      </c>
      <c r="I11" s="8">
        <v>3749</v>
      </c>
      <c r="J11" s="97">
        <f t="shared" si="0"/>
        <v>228</v>
      </c>
      <c r="K11" s="35">
        <f t="shared" si="1"/>
        <v>0.51475537147294848</v>
      </c>
      <c r="L11" s="32">
        <f t="shared" si="2"/>
        <v>0.48524462852705152</v>
      </c>
      <c r="M11" s="82">
        <f t="shared" si="3"/>
        <v>2.9510742945896951E-2</v>
      </c>
    </row>
    <row r="12" spans="1:13" ht="17.399999999999999" customHeight="1" x14ac:dyDescent="0.4">
      <c r="A12" s="4" t="s">
        <v>32</v>
      </c>
      <c r="B12" s="4" t="s">
        <v>15</v>
      </c>
      <c r="C12" s="5">
        <v>2507</v>
      </c>
      <c r="D12" s="6">
        <v>4</v>
      </c>
      <c r="E12" s="5">
        <v>2503</v>
      </c>
      <c r="F12" s="6">
        <v>44</v>
      </c>
      <c r="G12" s="5">
        <v>2459</v>
      </c>
      <c r="H12" s="5">
        <v>1674</v>
      </c>
      <c r="I12" s="6">
        <v>785</v>
      </c>
      <c r="J12" s="98">
        <f t="shared" si="0"/>
        <v>889</v>
      </c>
      <c r="K12" s="33">
        <f t="shared" si="1"/>
        <v>0.68076453843025619</v>
      </c>
      <c r="L12" s="33">
        <f t="shared" si="2"/>
        <v>0.31923546156974381</v>
      </c>
      <c r="M12" s="87">
        <f t="shared" si="3"/>
        <v>0.36152907686051239</v>
      </c>
    </row>
    <row r="13" spans="1:13" ht="17.399999999999999" customHeight="1" x14ac:dyDescent="0.4">
      <c r="A13" s="4" t="s">
        <v>32</v>
      </c>
      <c r="B13" s="4" t="s">
        <v>16</v>
      </c>
      <c r="C13" s="5">
        <v>11826</v>
      </c>
      <c r="D13" s="5">
        <v>6415</v>
      </c>
      <c r="E13" s="5">
        <v>5411</v>
      </c>
      <c r="F13" s="6">
        <v>144</v>
      </c>
      <c r="G13" s="5">
        <v>5267</v>
      </c>
      <c r="H13" s="5">
        <v>2303</v>
      </c>
      <c r="I13" s="5">
        <v>2964</v>
      </c>
      <c r="J13" s="98">
        <f t="shared" si="0"/>
        <v>-661</v>
      </c>
      <c r="K13" s="33">
        <f t="shared" si="1"/>
        <v>0.43725080691095503</v>
      </c>
      <c r="L13" s="33">
        <f t="shared" si="2"/>
        <v>0.56274919308904503</v>
      </c>
      <c r="M13" s="87">
        <f t="shared" si="3"/>
        <v>-0.12549838617809</v>
      </c>
    </row>
    <row r="14" spans="1:13" ht="17.399999999999999" customHeight="1" x14ac:dyDescent="0.4">
      <c r="A14" s="7" t="s">
        <v>36</v>
      </c>
      <c r="B14" s="7" t="s">
        <v>11</v>
      </c>
      <c r="C14" s="5">
        <v>25327</v>
      </c>
      <c r="D14" s="5">
        <v>11000</v>
      </c>
      <c r="E14" s="5">
        <v>14327</v>
      </c>
      <c r="F14" s="6">
        <v>287</v>
      </c>
      <c r="G14" s="8">
        <v>14040</v>
      </c>
      <c r="H14" s="9">
        <v>7607</v>
      </c>
      <c r="I14" s="8">
        <v>6433</v>
      </c>
      <c r="J14" s="97">
        <f t="shared" si="0"/>
        <v>1174</v>
      </c>
      <c r="K14" s="35">
        <f t="shared" si="1"/>
        <v>0.54180911680911681</v>
      </c>
      <c r="L14" s="32">
        <f t="shared" si="2"/>
        <v>0.45819088319088319</v>
      </c>
      <c r="M14" s="82">
        <f t="shared" si="3"/>
        <v>8.3618233618233617E-2</v>
      </c>
    </row>
    <row r="15" spans="1:13" ht="17.399999999999999" customHeight="1" x14ac:dyDescent="0.4">
      <c r="A15" s="4" t="s">
        <v>36</v>
      </c>
      <c r="B15" s="4" t="s">
        <v>15</v>
      </c>
      <c r="C15" s="5">
        <v>4072</v>
      </c>
      <c r="D15" s="6">
        <v>1</v>
      </c>
      <c r="E15" s="5">
        <v>4071</v>
      </c>
      <c r="F15" s="6">
        <v>69</v>
      </c>
      <c r="G15" s="5">
        <v>4002</v>
      </c>
      <c r="H15" s="5">
        <v>2711</v>
      </c>
      <c r="I15" s="5">
        <v>1291</v>
      </c>
      <c r="J15" s="98">
        <f t="shared" si="0"/>
        <v>1420</v>
      </c>
      <c r="K15" s="33">
        <f t="shared" si="1"/>
        <v>0.67741129435282355</v>
      </c>
      <c r="L15" s="33">
        <f t="shared" si="2"/>
        <v>0.3225887056471764</v>
      </c>
      <c r="M15" s="87">
        <f t="shared" si="3"/>
        <v>0.35482258870564715</v>
      </c>
    </row>
    <row r="16" spans="1:13" ht="17.399999999999999" customHeight="1" x14ac:dyDescent="0.4">
      <c r="A16" s="4" t="s">
        <v>36</v>
      </c>
      <c r="B16" s="4" t="s">
        <v>16</v>
      </c>
      <c r="C16" s="5">
        <v>21255</v>
      </c>
      <c r="D16" s="5">
        <v>10999</v>
      </c>
      <c r="E16" s="5">
        <v>10256</v>
      </c>
      <c r="F16" s="6">
        <v>218</v>
      </c>
      <c r="G16" s="5">
        <v>10038</v>
      </c>
      <c r="H16" s="5">
        <v>4896</v>
      </c>
      <c r="I16" s="5">
        <v>5142</v>
      </c>
      <c r="J16" s="98">
        <f t="shared" si="0"/>
        <v>-246</v>
      </c>
      <c r="K16" s="33">
        <f t="shared" si="1"/>
        <v>0.48774656306037062</v>
      </c>
      <c r="L16" s="33">
        <f t="shared" si="2"/>
        <v>0.51225343693962944</v>
      </c>
      <c r="M16" s="87">
        <f t="shared" si="3"/>
        <v>-2.4506873879258817E-2</v>
      </c>
    </row>
    <row r="17" spans="1:14" ht="17.399999999999999" customHeight="1" x14ac:dyDescent="0.4">
      <c r="A17" s="4" t="s">
        <v>17</v>
      </c>
      <c r="B17" s="4"/>
      <c r="C17" s="6">
        <v>0</v>
      </c>
      <c r="D17" s="6">
        <v>-14</v>
      </c>
      <c r="E17" s="6">
        <v>14</v>
      </c>
      <c r="F17" s="6">
        <v>0</v>
      </c>
      <c r="G17" s="6">
        <v>14</v>
      </c>
      <c r="H17" s="6">
        <v>7</v>
      </c>
      <c r="I17" s="6">
        <v>7</v>
      </c>
      <c r="J17" s="86"/>
      <c r="K17" s="33"/>
      <c r="L17" s="33"/>
      <c r="M17" s="86"/>
    </row>
    <row r="19" spans="1:14" ht="17.399999999999999" customHeight="1" x14ac:dyDescent="0.4">
      <c r="A19" s="343" t="s">
        <v>77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5"/>
    </row>
    <row r="20" spans="1:14" ht="17.399999999999999" customHeight="1" x14ac:dyDescent="0.4">
      <c r="A20" s="271" t="s">
        <v>0</v>
      </c>
      <c r="B20" s="271" t="s">
        <v>1</v>
      </c>
      <c r="C20" s="271" t="s">
        <v>2</v>
      </c>
      <c r="D20" s="271" t="s">
        <v>6</v>
      </c>
      <c r="E20" s="271" t="s">
        <v>131</v>
      </c>
      <c r="F20" s="3" t="s">
        <v>5</v>
      </c>
      <c r="G20" s="287" t="s">
        <v>132</v>
      </c>
      <c r="H20" s="271" t="s">
        <v>4</v>
      </c>
      <c r="I20" s="271"/>
      <c r="J20" s="271"/>
      <c r="K20" s="271"/>
      <c r="L20" s="340" t="s">
        <v>109</v>
      </c>
      <c r="M20" s="333"/>
      <c r="N20" s="334"/>
    </row>
    <row r="21" spans="1:14" ht="17.399999999999999" customHeight="1" x14ac:dyDescent="0.4">
      <c r="A21" s="271"/>
      <c r="B21" s="271"/>
      <c r="C21" s="271"/>
      <c r="D21" s="271"/>
      <c r="E21" s="271"/>
      <c r="F21" s="287" t="s">
        <v>3</v>
      </c>
      <c r="G21" s="322"/>
      <c r="H21" s="3" t="s">
        <v>18</v>
      </c>
      <c r="I21" s="3" t="s">
        <v>18</v>
      </c>
      <c r="J21" s="3" t="s">
        <v>20</v>
      </c>
      <c r="K21" s="287" t="s">
        <v>115</v>
      </c>
      <c r="L21" s="335" t="s">
        <v>113</v>
      </c>
      <c r="M21" s="335" t="s">
        <v>97</v>
      </c>
      <c r="N21" s="337" t="s">
        <v>101</v>
      </c>
    </row>
    <row r="22" spans="1:14" ht="17.399999999999999" customHeight="1" x14ac:dyDescent="0.4">
      <c r="A22" s="271"/>
      <c r="B22" s="271"/>
      <c r="C22" s="271"/>
      <c r="D22" s="271"/>
      <c r="E22" s="271"/>
      <c r="F22" s="288"/>
      <c r="G22" s="288"/>
      <c r="H22" s="3" t="s">
        <v>58</v>
      </c>
      <c r="I22" s="3" t="s">
        <v>59</v>
      </c>
      <c r="J22" s="3" t="s">
        <v>60</v>
      </c>
      <c r="K22" s="288"/>
      <c r="L22" s="336"/>
      <c r="M22" s="336"/>
      <c r="N22" s="338"/>
    </row>
    <row r="23" spans="1:14" ht="17.399999999999999" customHeight="1" x14ac:dyDescent="0.4">
      <c r="A23" s="7" t="s">
        <v>12</v>
      </c>
      <c r="B23" s="7"/>
      <c r="C23" s="5">
        <v>28323</v>
      </c>
      <c r="D23" s="5">
        <v>11941</v>
      </c>
      <c r="E23" s="5">
        <v>16382</v>
      </c>
      <c r="F23" s="6">
        <v>673</v>
      </c>
      <c r="G23" s="8">
        <v>15709</v>
      </c>
      <c r="H23" s="8">
        <v>6827</v>
      </c>
      <c r="I23" s="8">
        <v>3050</v>
      </c>
      <c r="J23" s="8">
        <v>5832</v>
      </c>
      <c r="K23" s="97">
        <f t="shared" ref="K23:K31" si="4">(H23+I23)-J23</f>
        <v>4045</v>
      </c>
      <c r="L23" s="35">
        <f>(H23+I23)/G23</f>
        <v>0.62874785155006685</v>
      </c>
      <c r="M23" s="32">
        <f>J23/G23</f>
        <v>0.37125214844993315</v>
      </c>
      <c r="N23" s="82">
        <f>L23-M23</f>
        <v>0.2574957031001337</v>
      </c>
    </row>
    <row r="24" spans="1:14" ht="17.399999999999999" customHeight="1" x14ac:dyDescent="0.4">
      <c r="A24" s="7" t="s">
        <v>13</v>
      </c>
      <c r="B24" s="7"/>
      <c r="C24" s="6">
        <v>72</v>
      </c>
      <c r="D24" s="6">
        <v>3</v>
      </c>
      <c r="E24" s="6">
        <v>69</v>
      </c>
      <c r="F24" s="6">
        <v>4</v>
      </c>
      <c r="G24" s="10">
        <v>65</v>
      </c>
      <c r="H24" s="10">
        <v>29</v>
      </c>
      <c r="I24" s="10">
        <v>17</v>
      </c>
      <c r="J24" s="10">
        <v>19</v>
      </c>
      <c r="K24" s="97">
        <f t="shared" si="4"/>
        <v>27</v>
      </c>
      <c r="L24" s="35">
        <f t="shared" ref="L24:L31" si="5">(H24+I24)/G24</f>
        <v>0.70769230769230773</v>
      </c>
      <c r="M24" s="32">
        <f t="shared" ref="M24:M31" si="6">J24/G24</f>
        <v>0.29230769230769232</v>
      </c>
      <c r="N24" s="82">
        <f t="shared" ref="N24:N31" si="7">L24-M24</f>
        <v>0.41538461538461541</v>
      </c>
    </row>
    <row r="25" spans="1:14" ht="17.399999999999999" customHeight="1" x14ac:dyDescent="0.4">
      <c r="A25" s="7" t="s">
        <v>14</v>
      </c>
      <c r="B25" s="7"/>
      <c r="C25" s="5">
        <v>1826</v>
      </c>
      <c r="D25" s="6">
        <v>1</v>
      </c>
      <c r="E25" s="5">
        <v>1825</v>
      </c>
      <c r="F25" s="6">
        <v>59</v>
      </c>
      <c r="G25" s="8">
        <v>1766</v>
      </c>
      <c r="H25" s="10">
        <v>864</v>
      </c>
      <c r="I25" s="10">
        <v>347</v>
      </c>
      <c r="J25" s="10">
        <v>555</v>
      </c>
      <c r="K25" s="97">
        <f t="shared" si="4"/>
        <v>656</v>
      </c>
      <c r="L25" s="35">
        <f t="shared" si="5"/>
        <v>0.6857304643261608</v>
      </c>
      <c r="M25" s="32">
        <f t="shared" si="6"/>
        <v>0.3142695356738392</v>
      </c>
      <c r="N25" s="82">
        <f t="shared" si="7"/>
        <v>0.37146092865232161</v>
      </c>
    </row>
    <row r="26" spans="1:14" ht="17.399999999999999" customHeight="1" x14ac:dyDescent="0.4">
      <c r="A26" s="7" t="s">
        <v>27</v>
      </c>
      <c r="B26" s="7" t="s">
        <v>11</v>
      </c>
      <c r="C26" s="5">
        <v>12092</v>
      </c>
      <c r="D26" s="5">
        <v>5531</v>
      </c>
      <c r="E26" s="5">
        <v>6561</v>
      </c>
      <c r="F26" s="6">
        <v>283</v>
      </c>
      <c r="G26" s="8">
        <v>6278</v>
      </c>
      <c r="H26" s="8">
        <v>3107</v>
      </c>
      <c r="I26" s="8">
        <v>1203</v>
      </c>
      <c r="J26" s="8">
        <v>1968</v>
      </c>
      <c r="K26" s="97">
        <f t="shared" si="4"/>
        <v>2342</v>
      </c>
      <c r="L26" s="35">
        <f t="shared" si="5"/>
        <v>0.68652437081873208</v>
      </c>
      <c r="M26" s="32">
        <f t="shared" si="6"/>
        <v>0.31347562918126792</v>
      </c>
      <c r="N26" s="82">
        <f t="shared" si="7"/>
        <v>0.37304874163746415</v>
      </c>
    </row>
    <row r="27" spans="1:14" ht="17.399999999999999" customHeight="1" x14ac:dyDescent="0.4">
      <c r="A27" s="4" t="s">
        <v>27</v>
      </c>
      <c r="B27" s="4" t="s">
        <v>15</v>
      </c>
      <c r="C27" s="5">
        <v>2354</v>
      </c>
      <c r="D27" s="6">
        <v>3</v>
      </c>
      <c r="E27" s="5">
        <v>2351</v>
      </c>
      <c r="F27" s="6">
        <v>53</v>
      </c>
      <c r="G27" s="5">
        <v>2298</v>
      </c>
      <c r="H27" s="5">
        <v>1342</v>
      </c>
      <c r="I27" s="6">
        <v>508</v>
      </c>
      <c r="J27" s="6">
        <v>448</v>
      </c>
      <c r="K27" s="98">
        <f t="shared" si="4"/>
        <v>1402</v>
      </c>
      <c r="L27" s="33">
        <f t="shared" si="5"/>
        <v>0.80504786771105308</v>
      </c>
      <c r="M27" s="33">
        <f t="shared" si="6"/>
        <v>0.19495213228894692</v>
      </c>
      <c r="N27" s="87">
        <f t="shared" si="7"/>
        <v>0.61009573542210616</v>
      </c>
    </row>
    <row r="28" spans="1:14" ht="17.399999999999999" customHeight="1" x14ac:dyDescent="0.4">
      <c r="A28" s="4" t="s">
        <v>27</v>
      </c>
      <c r="B28" s="4" t="s">
        <v>16</v>
      </c>
      <c r="C28" s="5">
        <v>9738</v>
      </c>
      <c r="D28" s="5">
        <v>5528</v>
      </c>
      <c r="E28" s="5">
        <v>4210</v>
      </c>
      <c r="F28" s="6">
        <v>230</v>
      </c>
      <c r="G28" s="5">
        <v>3980</v>
      </c>
      <c r="H28" s="5">
        <v>1765</v>
      </c>
      <c r="I28" s="6">
        <v>695</v>
      </c>
      <c r="J28" s="5">
        <v>1520</v>
      </c>
      <c r="K28" s="98">
        <f t="shared" si="4"/>
        <v>940</v>
      </c>
      <c r="L28" s="33">
        <f t="shared" si="5"/>
        <v>0.61809045226130654</v>
      </c>
      <c r="M28" s="33">
        <f t="shared" si="6"/>
        <v>0.38190954773869346</v>
      </c>
      <c r="N28" s="87">
        <f t="shared" si="7"/>
        <v>0.23618090452261309</v>
      </c>
    </row>
    <row r="29" spans="1:14" ht="17.399999999999999" customHeight="1" x14ac:dyDescent="0.4">
      <c r="A29" s="7" t="s">
        <v>32</v>
      </c>
      <c r="B29" s="7" t="s">
        <v>11</v>
      </c>
      <c r="C29" s="5">
        <v>14333</v>
      </c>
      <c r="D29" s="5">
        <v>6426</v>
      </c>
      <c r="E29" s="5">
        <v>7907</v>
      </c>
      <c r="F29" s="6">
        <v>326</v>
      </c>
      <c r="G29" s="8">
        <v>7581</v>
      </c>
      <c r="H29" s="8">
        <v>2820</v>
      </c>
      <c r="I29" s="8">
        <v>1477</v>
      </c>
      <c r="J29" s="8">
        <v>3284</v>
      </c>
      <c r="K29" s="97">
        <f t="shared" si="4"/>
        <v>1013</v>
      </c>
      <c r="L29" s="35">
        <f t="shared" si="5"/>
        <v>0.56681176625774965</v>
      </c>
      <c r="M29" s="32">
        <f t="shared" si="6"/>
        <v>0.43318823374225035</v>
      </c>
      <c r="N29" s="82">
        <f t="shared" si="7"/>
        <v>0.1336235325154993</v>
      </c>
    </row>
    <row r="30" spans="1:14" ht="17.399999999999999" customHeight="1" x14ac:dyDescent="0.4">
      <c r="A30" s="4" t="s">
        <v>32</v>
      </c>
      <c r="B30" s="4" t="s">
        <v>15</v>
      </c>
      <c r="C30" s="5">
        <v>2507</v>
      </c>
      <c r="D30" s="6">
        <v>5</v>
      </c>
      <c r="E30" s="5">
        <v>2502</v>
      </c>
      <c r="F30" s="6">
        <v>65</v>
      </c>
      <c r="G30" s="5">
        <v>2437</v>
      </c>
      <c r="H30" s="5">
        <v>1144</v>
      </c>
      <c r="I30" s="6">
        <v>590</v>
      </c>
      <c r="J30" s="6">
        <v>703</v>
      </c>
      <c r="K30" s="98">
        <f t="shared" si="4"/>
        <v>1031</v>
      </c>
      <c r="L30" s="33">
        <f t="shared" si="5"/>
        <v>0.71153057037340994</v>
      </c>
      <c r="M30" s="33">
        <f t="shared" si="6"/>
        <v>0.28846942962659006</v>
      </c>
      <c r="N30" s="87">
        <f t="shared" si="7"/>
        <v>0.42306114074681989</v>
      </c>
    </row>
    <row r="31" spans="1:14" ht="17.399999999999999" customHeight="1" x14ac:dyDescent="0.4">
      <c r="A31" s="4" t="s">
        <v>32</v>
      </c>
      <c r="B31" s="4" t="s">
        <v>16</v>
      </c>
      <c r="C31" s="5">
        <v>11826</v>
      </c>
      <c r="D31" s="5">
        <v>6421</v>
      </c>
      <c r="E31" s="5">
        <v>5405</v>
      </c>
      <c r="F31" s="6">
        <v>261</v>
      </c>
      <c r="G31" s="5">
        <v>5144</v>
      </c>
      <c r="H31" s="5">
        <v>1676</v>
      </c>
      <c r="I31" s="6">
        <v>887</v>
      </c>
      <c r="J31" s="5">
        <v>2581</v>
      </c>
      <c r="K31" s="98">
        <f t="shared" si="4"/>
        <v>-18</v>
      </c>
      <c r="L31" s="33">
        <f t="shared" si="5"/>
        <v>0.49825038880248834</v>
      </c>
      <c r="M31" s="33">
        <f t="shared" si="6"/>
        <v>0.50174961119751171</v>
      </c>
      <c r="N31" s="87">
        <f t="shared" si="7"/>
        <v>-3.4992223950233714E-3</v>
      </c>
    </row>
    <row r="32" spans="1:14" ht="17.399999999999999" customHeight="1" x14ac:dyDescent="0.4">
      <c r="A32" s="4" t="s">
        <v>17</v>
      </c>
      <c r="B32" s="4"/>
      <c r="C32" s="6">
        <v>0</v>
      </c>
      <c r="D32" s="6">
        <v>-20</v>
      </c>
      <c r="E32" s="6">
        <v>20</v>
      </c>
      <c r="F32" s="6">
        <v>1</v>
      </c>
      <c r="G32" s="6">
        <v>19</v>
      </c>
      <c r="H32" s="6">
        <v>7</v>
      </c>
      <c r="I32" s="6">
        <v>6</v>
      </c>
      <c r="J32" s="6">
        <v>6</v>
      </c>
      <c r="K32" s="86"/>
      <c r="L32" s="33"/>
      <c r="M32" s="33"/>
      <c r="N32" s="87"/>
    </row>
    <row r="33" spans="1:18" ht="17.399999999999999" customHeight="1" x14ac:dyDescent="0.4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8" ht="17.399999999999999" customHeight="1" x14ac:dyDescent="0.4">
      <c r="A34" s="341" t="s">
        <v>78</v>
      </c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</row>
    <row r="35" spans="1:18" ht="17.399999999999999" customHeight="1" x14ac:dyDescent="0.4">
      <c r="A35" s="271" t="s">
        <v>0</v>
      </c>
      <c r="B35" s="271" t="s">
        <v>1</v>
      </c>
      <c r="C35" s="271" t="s">
        <v>2</v>
      </c>
      <c r="D35" s="271" t="s">
        <v>6</v>
      </c>
      <c r="E35" s="271" t="s">
        <v>131</v>
      </c>
      <c r="F35" s="3" t="s">
        <v>5</v>
      </c>
      <c r="G35" s="287" t="s">
        <v>132</v>
      </c>
      <c r="H35" s="289" t="s">
        <v>4</v>
      </c>
      <c r="I35" s="346"/>
      <c r="J35" s="346"/>
      <c r="K35" s="346"/>
      <c r="L35" s="346"/>
      <c r="M35" s="347"/>
      <c r="N35" s="332" t="s">
        <v>109</v>
      </c>
      <c r="O35" s="332"/>
      <c r="P35" s="332"/>
      <c r="Q35" s="332" t="s">
        <v>116</v>
      </c>
      <c r="R35" s="332"/>
    </row>
    <row r="36" spans="1:18" ht="17.399999999999999" customHeight="1" x14ac:dyDescent="0.4">
      <c r="A36" s="271"/>
      <c r="B36" s="271"/>
      <c r="C36" s="271"/>
      <c r="D36" s="271"/>
      <c r="E36" s="271"/>
      <c r="F36" s="287" t="s">
        <v>3</v>
      </c>
      <c r="G36" s="322"/>
      <c r="H36" s="3" t="s">
        <v>18</v>
      </c>
      <c r="I36" s="3" t="s">
        <v>18</v>
      </c>
      <c r="J36" s="3" t="s">
        <v>20</v>
      </c>
      <c r="K36" s="3" t="s">
        <v>64</v>
      </c>
      <c r="L36" s="320" t="s">
        <v>115</v>
      </c>
      <c r="M36" s="320" t="s">
        <v>118</v>
      </c>
      <c r="N36" s="335" t="s">
        <v>113</v>
      </c>
      <c r="O36" s="335" t="s">
        <v>97</v>
      </c>
      <c r="P36" s="337" t="s">
        <v>101</v>
      </c>
      <c r="Q36" s="337" t="s">
        <v>117</v>
      </c>
      <c r="R36" s="337" t="s">
        <v>101</v>
      </c>
    </row>
    <row r="37" spans="1:18" ht="17.399999999999999" customHeight="1" x14ac:dyDescent="0.4">
      <c r="A37" s="271"/>
      <c r="B37" s="271"/>
      <c r="C37" s="271"/>
      <c r="D37" s="271"/>
      <c r="E37" s="271"/>
      <c r="F37" s="288"/>
      <c r="G37" s="288"/>
      <c r="H37" s="3" t="s">
        <v>61</v>
      </c>
      <c r="I37" s="3" t="s">
        <v>62</v>
      </c>
      <c r="J37" s="3" t="s">
        <v>63</v>
      </c>
      <c r="K37" s="3" t="s">
        <v>65</v>
      </c>
      <c r="L37" s="321"/>
      <c r="M37" s="321"/>
      <c r="N37" s="336"/>
      <c r="O37" s="336"/>
      <c r="P37" s="338"/>
      <c r="Q37" s="338"/>
      <c r="R37" s="338"/>
    </row>
    <row r="38" spans="1:18" ht="17.399999999999999" customHeight="1" x14ac:dyDescent="0.4">
      <c r="A38" s="7" t="s">
        <v>12</v>
      </c>
      <c r="B38" s="7"/>
      <c r="C38" s="5">
        <v>27613</v>
      </c>
      <c r="D38" s="5">
        <v>10998</v>
      </c>
      <c r="E38" s="5">
        <v>16615</v>
      </c>
      <c r="F38" s="6">
        <v>662</v>
      </c>
      <c r="G38" s="8">
        <v>15953</v>
      </c>
      <c r="H38" s="8">
        <v>6620</v>
      </c>
      <c r="I38" s="8">
        <v>2374</v>
      </c>
      <c r="J38" s="8">
        <v>6017</v>
      </c>
      <c r="K38" s="10">
        <v>942</v>
      </c>
      <c r="L38" s="97">
        <f>(H38+I38)-J38</f>
        <v>2977</v>
      </c>
      <c r="M38" s="73">
        <f>(H38+I38+K38)-J38</f>
        <v>3919</v>
      </c>
      <c r="N38" s="35">
        <f>(H38+I38)/G38</f>
        <v>0.56378110700181783</v>
      </c>
      <c r="O38" s="32">
        <f>J38/G38</f>
        <v>0.37717043816210116</v>
      </c>
      <c r="P38" s="82">
        <f>N38-O38</f>
        <v>0.18661066883971666</v>
      </c>
      <c r="Q38" s="39">
        <f>(H38+I38+K38)/G38</f>
        <v>0.62282956183789884</v>
      </c>
      <c r="R38" s="39">
        <f>Q38-O38</f>
        <v>0.24565912367579767</v>
      </c>
    </row>
    <row r="39" spans="1:18" ht="17.399999999999999" customHeight="1" x14ac:dyDescent="0.4">
      <c r="A39" s="7" t="s">
        <v>13</v>
      </c>
      <c r="B39" s="7"/>
      <c r="C39" s="6">
        <v>50</v>
      </c>
      <c r="D39" s="6">
        <v>2</v>
      </c>
      <c r="E39" s="6">
        <v>48</v>
      </c>
      <c r="F39" s="6">
        <v>4</v>
      </c>
      <c r="G39" s="10">
        <v>44</v>
      </c>
      <c r="H39" s="10">
        <v>14</v>
      </c>
      <c r="I39" s="10">
        <v>11</v>
      </c>
      <c r="J39" s="10">
        <v>18</v>
      </c>
      <c r="K39" s="10">
        <v>1</v>
      </c>
      <c r="L39" s="97">
        <f t="shared" ref="L39:L43" si="8">(H39+I39)-J39</f>
        <v>7</v>
      </c>
      <c r="M39" s="73">
        <f t="shared" ref="M39:M43" si="9">(H39+I39+K39)-J39</f>
        <v>8</v>
      </c>
      <c r="N39" s="35">
        <f t="shared" ref="N39:N43" si="10">(H39+I39)/G39</f>
        <v>0.56818181818181823</v>
      </c>
      <c r="O39" s="32">
        <f t="shared" ref="O39:O43" si="11">J39/G39</f>
        <v>0.40909090909090912</v>
      </c>
      <c r="P39" s="82">
        <f t="shared" ref="P39:P43" si="12">N39-O39</f>
        <v>0.15909090909090912</v>
      </c>
      <c r="Q39" s="39">
        <f t="shared" ref="Q39:Q43" si="13">(H39+I39+K39)/G39</f>
        <v>0.59090909090909094</v>
      </c>
      <c r="R39" s="39">
        <f t="shared" ref="R39:R43" si="14">Q39-O39</f>
        <v>0.18181818181818182</v>
      </c>
    </row>
    <row r="40" spans="1:18" ht="17.399999999999999" customHeight="1" x14ac:dyDescent="0.4">
      <c r="A40" s="7" t="s">
        <v>14</v>
      </c>
      <c r="B40" s="7"/>
      <c r="C40" s="5">
        <v>2236</v>
      </c>
      <c r="D40" s="6">
        <v>0</v>
      </c>
      <c r="E40" s="5">
        <v>2236</v>
      </c>
      <c r="F40" s="6">
        <v>74</v>
      </c>
      <c r="G40" s="8">
        <v>2162</v>
      </c>
      <c r="H40" s="8">
        <v>1011</v>
      </c>
      <c r="I40" s="10">
        <v>328</v>
      </c>
      <c r="J40" s="10">
        <v>687</v>
      </c>
      <c r="K40" s="10">
        <v>136</v>
      </c>
      <c r="L40" s="97">
        <f t="shared" si="8"/>
        <v>652</v>
      </c>
      <c r="M40" s="73">
        <f t="shared" si="9"/>
        <v>788</v>
      </c>
      <c r="N40" s="35">
        <f t="shared" si="10"/>
        <v>0.61933395004625347</v>
      </c>
      <c r="O40" s="32">
        <f t="shared" si="11"/>
        <v>0.31776133209990748</v>
      </c>
      <c r="P40" s="82">
        <f t="shared" si="12"/>
        <v>0.30157261794634599</v>
      </c>
      <c r="Q40" s="39">
        <f t="shared" si="13"/>
        <v>0.68223866790009247</v>
      </c>
      <c r="R40" s="39">
        <f t="shared" si="14"/>
        <v>0.36447733580018499</v>
      </c>
    </row>
    <row r="41" spans="1:18" ht="17.399999999999999" customHeight="1" x14ac:dyDescent="0.4">
      <c r="A41" s="7" t="s">
        <v>36</v>
      </c>
      <c r="B41" s="7" t="s">
        <v>11</v>
      </c>
      <c r="C41" s="5">
        <v>25327</v>
      </c>
      <c r="D41" s="5">
        <v>11018</v>
      </c>
      <c r="E41" s="5">
        <v>14309</v>
      </c>
      <c r="F41" s="6">
        <v>583</v>
      </c>
      <c r="G41" s="8">
        <v>13726</v>
      </c>
      <c r="H41" s="8">
        <v>5580</v>
      </c>
      <c r="I41" s="8">
        <v>2034</v>
      </c>
      <c r="J41" s="8">
        <v>5308</v>
      </c>
      <c r="K41" s="10">
        <v>804</v>
      </c>
      <c r="L41" s="97">
        <f t="shared" si="8"/>
        <v>2306</v>
      </c>
      <c r="M41" s="73">
        <f t="shared" si="9"/>
        <v>3110</v>
      </c>
      <c r="N41" s="35">
        <f t="shared" si="10"/>
        <v>0.55471368206323768</v>
      </c>
      <c r="O41" s="32">
        <f t="shared" si="11"/>
        <v>0.38671135072125895</v>
      </c>
      <c r="P41" s="82">
        <f t="shared" si="12"/>
        <v>0.16800233134197873</v>
      </c>
      <c r="Q41" s="39">
        <f t="shared" si="13"/>
        <v>0.61328864927874105</v>
      </c>
      <c r="R41" s="39">
        <f t="shared" si="14"/>
        <v>0.2265772985574821</v>
      </c>
    </row>
    <row r="42" spans="1:18" ht="17.399999999999999" customHeight="1" x14ac:dyDescent="0.4">
      <c r="A42" s="4" t="s">
        <v>36</v>
      </c>
      <c r="B42" s="4" t="s">
        <v>15</v>
      </c>
      <c r="C42" s="5">
        <v>4072</v>
      </c>
      <c r="D42" s="6">
        <v>10</v>
      </c>
      <c r="E42" s="5">
        <v>4062</v>
      </c>
      <c r="F42" s="6">
        <v>79</v>
      </c>
      <c r="G42" s="5">
        <v>3983</v>
      </c>
      <c r="H42" s="5">
        <v>2001</v>
      </c>
      <c r="I42" s="6">
        <v>692</v>
      </c>
      <c r="J42" s="5">
        <v>1055</v>
      </c>
      <c r="K42" s="6">
        <v>235</v>
      </c>
      <c r="L42" s="98">
        <f t="shared" si="8"/>
        <v>1638</v>
      </c>
      <c r="M42" s="70">
        <f t="shared" si="9"/>
        <v>1873</v>
      </c>
      <c r="N42" s="33">
        <f t="shared" si="10"/>
        <v>0.67612352498117001</v>
      </c>
      <c r="O42" s="33">
        <f t="shared" si="11"/>
        <v>0.26487572181772534</v>
      </c>
      <c r="P42" s="87">
        <f t="shared" si="12"/>
        <v>0.41124780316344467</v>
      </c>
      <c r="Q42" s="40">
        <f t="shared" si="13"/>
        <v>0.73512427818227466</v>
      </c>
      <c r="R42" s="40">
        <f t="shared" si="14"/>
        <v>0.47024855636454932</v>
      </c>
    </row>
    <row r="43" spans="1:18" ht="17.399999999999999" customHeight="1" x14ac:dyDescent="0.4">
      <c r="A43" s="4" t="s">
        <v>36</v>
      </c>
      <c r="B43" s="4" t="s">
        <v>16</v>
      </c>
      <c r="C43" s="5">
        <v>21255</v>
      </c>
      <c r="D43" s="5">
        <v>11008</v>
      </c>
      <c r="E43" s="5">
        <v>10247</v>
      </c>
      <c r="F43" s="6">
        <v>504</v>
      </c>
      <c r="G43" s="5">
        <v>9743</v>
      </c>
      <c r="H43" s="5">
        <v>3579</v>
      </c>
      <c r="I43" s="5">
        <v>1342</v>
      </c>
      <c r="J43" s="5">
        <v>4253</v>
      </c>
      <c r="K43" s="6">
        <v>569</v>
      </c>
      <c r="L43" s="98">
        <f t="shared" si="8"/>
        <v>668</v>
      </c>
      <c r="M43" s="70">
        <f t="shared" si="9"/>
        <v>1237</v>
      </c>
      <c r="N43" s="33">
        <f t="shared" si="10"/>
        <v>0.50508057066611922</v>
      </c>
      <c r="O43" s="33">
        <f t="shared" si="11"/>
        <v>0.43651852612131786</v>
      </c>
      <c r="P43" s="87">
        <f t="shared" si="12"/>
        <v>6.8562044544801359E-2</v>
      </c>
      <c r="Q43" s="40">
        <f t="shared" si="13"/>
        <v>0.56348147387868208</v>
      </c>
      <c r="R43" s="40">
        <f t="shared" si="14"/>
        <v>0.12696294775736422</v>
      </c>
    </row>
    <row r="44" spans="1:18" ht="17.399999999999999" customHeight="1" x14ac:dyDescent="0.4">
      <c r="A44" s="4" t="s">
        <v>17</v>
      </c>
      <c r="B44" s="4"/>
      <c r="C44" s="6">
        <v>0</v>
      </c>
      <c r="D44" s="6">
        <v>-22</v>
      </c>
      <c r="E44" s="6">
        <v>22</v>
      </c>
      <c r="F44" s="6">
        <v>1</v>
      </c>
      <c r="G44" s="6">
        <v>21</v>
      </c>
      <c r="H44" s="6">
        <v>15</v>
      </c>
      <c r="I44" s="6">
        <v>1</v>
      </c>
      <c r="J44" s="6">
        <v>4</v>
      </c>
      <c r="K44" s="6">
        <v>1</v>
      </c>
      <c r="L44" s="86"/>
      <c r="M44" s="34"/>
      <c r="N44" s="17"/>
      <c r="O44" s="33"/>
      <c r="P44" s="87"/>
      <c r="Q44" s="33"/>
      <c r="R44" s="33"/>
    </row>
    <row r="46" spans="1:18" ht="17.399999999999999" customHeight="1" x14ac:dyDescent="0.4">
      <c r="C46" s="29"/>
    </row>
  </sheetData>
  <mergeCells count="46">
    <mergeCell ref="A20:A22"/>
    <mergeCell ref="B20:B22"/>
    <mergeCell ref="C20:C22"/>
    <mergeCell ref="E20:E22"/>
    <mergeCell ref="H20:K20"/>
    <mergeCell ref="D20:D22"/>
    <mergeCell ref="E2:E4"/>
    <mergeCell ref="H2:J2"/>
    <mergeCell ref="N36:N37"/>
    <mergeCell ref="O36:O37"/>
    <mergeCell ref="A35:A37"/>
    <mergeCell ref="B35:B37"/>
    <mergeCell ref="C35:C37"/>
    <mergeCell ref="E35:E37"/>
    <mergeCell ref="D35:D37"/>
    <mergeCell ref="G35:G37"/>
    <mergeCell ref="F36:F37"/>
    <mergeCell ref="H35:M35"/>
    <mergeCell ref="L21:L22"/>
    <mergeCell ref="M21:M22"/>
    <mergeCell ref="K3:K4"/>
    <mergeCell ref="L3:L4"/>
    <mergeCell ref="A1:M1"/>
    <mergeCell ref="G2:G4"/>
    <mergeCell ref="F3:F4"/>
    <mergeCell ref="G20:G22"/>
    <mergeCell ref="F21:F22"/>
    <mergeCell ref="L20:N20"/>
    <mergeCell ref="N21:N22"/>
    <mergeCell ref="A19:N19"/>
    <mergeCell ref="K21:K22"/>
    <mergeCell ref="D2:D4"/>
    <mergeCell ref="J3:J4"/>
    <mergeCell ref="K2:M2"/>
    <mergeCell ref="M3:M4"/>
    <mergeCell ref="A2:A4"/>
    <mergeCell ref="B2:B4"/>
    <mergeCell ref="C2:C4"/>
    <mergeCell ref="A34:R34"/>
    <mergeCell ref="Q36:Q37"/>
    <mergeCell ref="R36:R37"/>
    <mergeCell ref="N35:P35"/>
    <mergeCell ref="Q35:R35"/>
    <mergeCell ref="M36:M37"/>
    <mergeCell ref="L36:L37"/>
    <mergeCell ref="P36:P37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BD28-3F88-49C3-AB1B-9C7B653D3E18}">
  <dimension ref="A1:S69"/>
  <sheetViews>
    <sheetView topLeftCell="A43" zoomScaleNormal="100" workbookViewId="0">
      <selection activeCell="R62" sqref="R62"/>
    </sheetView>
  </sheetViews>
  <sheetFormatPr defaultRowHeight="15" customHeight="1" x14ac:dyDescent="0.4"/>
  <cols>
    <col min="1" max="16384" width="8.796875" style="28"/>
  </cols>
  <sheetData>
    <row r="1" spans="1:13" ht="15" customHeight="1" x14ac:dyDescent="0.4">
      <c r="A1" s="348" t="s">
        <v>79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</row>
    <row r="2" spans="1:13" ht="15" customHeight="1" x14ac:dyDescent="0.4">
      <c r="A2" s="271" t="s">
        <v>0</v>
      </c>
      <c r="B2" s="271" t="s">
        <v>1</v>
      </c>
      <c r="C2" s="271" t="s">
        <v>2</v>
      </c>
      <c r="D2" s="271" t="s">
        <v>6</v>
      </c>
      <c r="E2" s="271" t="s">
        <v>131</v>
      </c>
      <c r="F2" s="3" t="s">
        <v>5</v>
      </c>
      <c r="G2" s="287" t="s">
        <v>132</v>
      </c>
      <c r="H2" s="271" t="s">
        <v>4</v>
      </c>
      <c r="I2" s="271"/>
      <c r="J2" s="271"/>
      <c r="K2" s="340" t="s">
        <v>109</v>
      </c>
      <c r="L2" s="333"/>
      <c r="M2" s="334"/>
    </row>
    <row r="3" spans="1:13" ht="15" customHeight="1" x14ac:dyDescent="0.4">
      <c r="A3" s="271"/>
      <c r="B3" s="271"/>
      <c r="C3" s="271"/>
      <c r="D3" s="271"/>
      <c r="E3" s="271"/>
      <c r="F3" s="287" t="s">
        <v>3</v>
      </c>
      <c r="G3" s="322"/>
      <c r="H3" s="3" t="s">
        <v>18</v>
      </c>
      <c r="I3" s="3" t="s">
        <v>20</v>
      </c>
      <c r="J3" s="287" t="s">
        <v>107</v>
      </c>
      <c r="K3" s="335" t="s">
        <v>114</v>
      </c>
      <c r="L3" s="335" t="s">
        <v>97</v>
      </c>
      <c r="M3" s="271" t="s">
        <v>101</v>
      </c>
    </row>
    <row r="4" spans="1:13" ht="15" customHeight="1" x14ac:dyDescent="0.4">
      <c r="A4" s="271"/>
      <c r="B4" s="271"/>
      <c r="C4" s="271"/>
      <c r="D4" s="271"/>
      <c r="E4" s="271"/>
      <c r="F4" s="288"/>
      <c r="G4" s="288"/>
      <c r="H4" s="3" t="s">
        <v>47</v>
      </c>
      <c r="I4" s="3" t="s">
        <v>48</v>
      </c>
      <c r="J4" s="288"/>
      <c r="K4" s="336"/>
      <c r="L4" s="336"/>
      <c r="M4" s="271"/>
    </row>
    <row r="5" spans="1:13" ht="15" customHeight="1" x14ac:dyDescent="0.4">
      <c r="A5" s="7" t="s">
        <v>12</v>
      </c>
      <c r="B5" s="7"/>
      <c r="C5" s="5">
        <v>60657</v>
      </c>
      <c r="D5" s="5">
        <v>24287</v>
      </c>
      <c r="E5" s="5">
        <v>36370</v>
      </c>
      <c r="F5" s="5">
        <v>1046</v>
      </c>
      <c r="G5" s="8">
        <v>35324</v>
      </c>
      <c r="H5" s="9">
        <v>17831</v>
      </c>
      <c r="I5" s="8">
        <v>17493</v>
      </c>
      <c r="J5" s="97">
        <f>H5-I5</f>
        <v>338</v>
      </c>
      <c r="K5" s="35">
        <f>H5/G5</f>
        <v>0.50478428264069752</v>
      </c>
      <c r="L5" s="32">
        <f>I5/G5</f>
        <v>0.49521571735930248</v>
      </c>
      <c r="M5" s="82">
        <f>K5-L5</f>
        <v>9.5685652813950473E-3</v>
      </c>
    </row>
    <row r="6" spans="1:13" ht="15" customHeight="1" x14ac:dyDescent="0.4">
      <c r="A6" s="7" t="s">
        <v>13</v>
      </c>
      <c r="B6" s="7"/>
      <c r="C6" s="6">
        <v>112</v>
      </c>
      <c r="D6" s="6">
        <v>18</v>
      </c>
      <c r="E6" s="6">
        <v>94</v>
      </c>
      <c r="F6" s="6">
        <v>5</v>
      </c>
      <c r="G6" s="10">
        <v>89</v>
      </c>
      <c r="H6" s="10">
        <v>41</v>
      </c>
      <c r="I6" s="11">
        <v>48</v>
      </c>
      <c r="J6" s="99">
        <f t="shared" ref="J6:J28" si="0">H6-I6</f>
        <v>-7</v>
      </c>
      <c r="K6" s="32">
        <f t="shared" ref="K6:K28" si="1">H6/G6</f>
        <v>0.4606741573033708</v>
      </c>
      <c r="L6" s="37">
        <f t="shared" ref="L6:L28" si="2">I6/G6</f>
        <v>0.5393258426966292</v>
      </c>
      <c r="M6" s="84">
        <f t="shared" ref="M6:M28" si="3">K6-L6</f>
        <v>-7.8651685393258397E-2</v>
      </c>
    </row>
    <row r="7" spans="1:13" ht="15" customHeight="1" x14ac:dyDescent="0.4">
      <c r="A7" s="7" t="s">
        <v>14</v>
      </c>
      <c r="B7" s="7"/>
      <c r="C7" s="5">
        <v>4115</v>
      </c>
      <c r="D7" s="6">
        <v>2</v>
      </c>
      <c r="E7" s="5">
        <v>4113</v>
      </c>
      <c r="F7" s="6">
        <v>112</v>
      </c>
      <c r="G7" s="8">
        <v>4001</v>
      </c>
      <c r="H7" s="9">
        <v>2453</v>
      </c>
      <c r="I7" s="8">
        <v>1548</v>
      </c>
      <c r="J7" s="97">
        <f t="shared" si="0"/>
        <v>905</v>
      </c>
      <c r="K7" s="35">
        <f t="shared" si="1"/>
        <v>0.61309672581854535</v>
      </c>
      <c r="L7" s="32">
        <f t="shared" si="2"/>
        <v>0.38690327418145465</v>
      </c>
      <c r="M7" s="82">
        <f t="shared" si="3"/>
        <v>0.2261934516370907</v>
      </c>
    </row>
    <row r="8" spans="1:13" ht="15" customHeight="1" x14ac:dyDescent="0.4">
      <c r="A8" s="7" t="s">
        <v>28</v>
      </c>
      <c r="B8" s="7" t="s">
        <v>11</v>
      </c>
      <c r="C8" s="5">
        <v>7569</v>
      </c>
      <c r="D8" s="5">
        <v>3280</v>
      </c>
      <c r="E8" s="5">
        <v>4289</v>
      </c>
      <c r="F8" s="6">
        <v>111</v>
      </c>
      <c r="G8" s="8">
        <v>4178</v>
      </c>
      <c r="H8" s="8">
        <v>2029</v>
      </c>
      <c r="I8" s="12">
        <v>2149</v>
      </c>
      <c r="J8" s="99">
        <f t="shared" si="0"/>
        <v>-120</v>
      </c>
      <c r="K8" s="32">
        <f t="shared" si="1"/>
        <v>0.48563906175203447</v>
      </c>
      <c r="L8" s="37">
        <f t="shared" si="2"/>
        <v>0.51436093824796558</v>
      </c>
      <c r="M8" s="84">
        <f t="shared" si="3"/>
        <v>-2.8721876495931109E-2</v>
      </c>
    </row>
    <row r="9" spans="1:13" ht="15" customHeight="1" x14ac:dyDescent="0.4">
      <c r="A9" s="4" t="s">
        <v>28</v>
      </c>
      <c r="B9" s="4" t="s">
        <v>15</v>
      </c>
      <c r="C9" s="5">
        <v>1117</v>
      </c>
      <c r="D9" s="6">
        <v>3</v>
      </c>
      <c r="E9" s="5">
        <v>1114</v>
      </c>
      <c r="F9" s="6">
        <v>42</v>
      </c>
      <c r="G9" s="5">
        <v>1072</v>
      </c>
      <c r="H9" s="6">
        <v>667</v>
      </c>
      <c r="I9" s="6">
        <v>405</v>
      </c>
      <c r="J9" s="98">
        <f t="shared" si="0"/>
        <v>262</v>
      </c>
      <c r="K9" s="33">
        <f t="shared" si="1"/>
        <v>0.62220149253731338</v>
      </c>
      <c r="L9" s="33">
        <f t="shared" si="2"/>
        <v>0.37779850746268656</v>
      </c>
      <c r="M9" s="87">
        <f t="shared" si="3"/>
        <v>0.24440298507462682</v>
      </c>
    </row>
    <row r="10" spans="1:13" ht="15" customHeight="1" x14ac:dyDescent="0.4">
      <c r="A10" s="4" t="s">
        <v>28</v>
      </c>
      <c r="B10" s="4" t="s">
        <v>16</v>
      </c>
      <c r="C10" s="5">
        <v>6452</v>
      </c>
      <c r="D10" s="5">
        <v>3277</v>
      </c>
      <c r="E10" s="5">
        <v>3175</v>
      </c>
      <c r="F10" s="6">
        <v>69</v>
      </c>
      <c r="G10" s="5">
        <v>3106</v>
      </c>
      <c r="H10" s="5">
        <v>1362</v>
      </c>
      <c r="I10" s="5">
        <v>1744</v>
      </c>
      <c r="J10" s="98">
        <f t="shared" si="0"/>
        <v>-382</v>
      </c>
      <c r="K10" s="33">
        <f t="shared" si="1"/>
        <v>0.43850611719253058</v>
      </c>
      <c r="L10" s="33">
        <f t="shared" si="2"/>
        <v>0.56149388280746937</v>
      </c>
      <c r="M10" s="87">
        <f t="shared" si="3"/>
        <v>-0.12298776561493879</v>
      </c>
    </row>
    <row r="11" spans="1:13" ht="15" customHeight="1" x14ac:dyDescent="0.4">
      <c r="A11" s="7" t="s">
        <v>29</v>
      </c>
      <c r="B11" s="7" t="s">
        <v>11</v>
      </c>
      <c r="C11" s="5">
        <v>4342</v>
      </c>
      <c r="D11" s="5">
        <v>1589</v>
      </c>
      <c r="E11" s="5">
        <v>2753</v>
      </c>
      <c r="F11" s="6">
        <v>113</v>
      </c>
      <c r="G11" s="8">
        <v>2640</v>
      </c>
      <c r="H11" s="8">
        <v>1134</v>
      </c>
      <c r="I11" s="12">
        <v>1506</v>
      </c>
      <c r="J11" s="99">
        <f t="shared" si="0"/>
        <v>-372</v>
      </c>
      <c r="K11" s="32">
        <f t="shared" si="1"/>
        <v>0.42954545454545456</v>
      </c>
      <c r="L11" s="37">
        <f t="shared" si="2"/>
        <v>0.57045454545454544</v>
      </c>
      <c r="M11" s="84">
        <f t="shared" si="3"/>
        <v>-0.14090909090909087</v>
      </c>
    </row>
    <row r="12" spans="1:13" ht="15" customHeight="1" x14ac:dyDescent="0.4">
      <c r="A12" s="4" t="s">
        <v>29</v>
      </c>
      <c r="B12" s="4" t="s">
        <v>15</v>
      </c>
      <c r="C12" s="6">
        <v>934</v>
      </c>
      <c r="D12" s="6">
        <v>2</v>
      </c>
      <c r="E12" s="6">
        <v>932</v>
      </c>
      <c r="F12" s="6">
        <v>32</v>
      </c>
      <c r="G12" s="6">
        <v>900</v>
      </c>
      <c r="H12" s="6">
        <v>508</v>
      </c>
      <c r="I12" s="6">
        <v>392</v>
      </c>
      <c r="J12" s="98">
        <f t="shared" si="0"/>
        <v>116</v>
      </c>
      <c r="K12" s="33">
        <f t="shared" si="1"/>
        <v>0.56444444444444442</v>
      </c>
      <c r="L12" s="33">
        <f t="shared" si="2"/>
        <v>0.43555555555555553</v>
      </c>
      <c r="M12" s="87">
        <f t="shared" si="3"/>
        <v>0.12888888888888889</v>
      </c>
    </row>
    <row r="13" spans="1:13" ht="15" customHeight="1" x14ac:dyDescent="0.4">
      <c r="A13" s="4" t="s">
        <v>29</v>
      </c>
      <c r="B13" s="4" t="s">
        <v>16</v>
      </c>
      <c r="C13" s="5">
        <v>3408</v>
      </c>
      <c r="D13" s="5">
        <v>1587</v>
      </c>
      <c r="E13" s="5">
        <v>1821</v>
      </c>
      <c r="F13" s="6">
        <v>81</v>
      </c>
      <c r="G13" s="5">
        <v>1740</v>
      </c>
      <c r="H13" s="6">
        <v>626</v>
      </c>
      <c r="I13" s="5">
        <v>1114</v>
      </c>
      <c r="J13" s="98">
        <f t="shared" si="0"/>
        <v>-488</v>
      </c>
      <c r="K13" s="33">
        <f t="shared" si="1"/>
        <v>0.35977011494252875</v>
      </c>
      <c r="L13" s="33">
        <f t="shared" si="2"/>
        <v>0.64022988505747125</v>
      </c>
      <c r="M13" s="87">
        <f t="shared" si="3"/>
        <v>-0.2804597701149425</v>
      </c>
    </row>
    <row r="14" spans="1:13" ht="15" customHeight="1" x14ac:dyDescent="0.4">
      <c r="A14" s="7" t="s">
        <v>30</v>
      </c>
      <c r="B14" s="7" t="s">
        <v>11</v>
      </c>
      <c r="C14" s="5">
        <v>6526</v>
      </c>
      <c r="D14" s="5">
        <v>2706</v>
      </c>
      <c r="E14" s="5">
        <v>3820</v>
      </c>
      <c r="F14" s="6">
        <v>149</v>
      </c>
      <c r="G14" s="8">
        <v>3671</v>
      </c>
      <c r="H14" s="8">
        <v>1630</v>
      </c>
      <c r="I14" s="12">
        <v>2041</v>
      </c>
      <c r="J14" s="99">
        <f t="shared" si="0"/>
        <v>-411</v>
      </c>
      <c r="K14" s="32">
        <f t="shared" si="1"/>
        <v>0.44402070280577499</v>
      </c>
      <c r="L14" s="37">
        <f t="shared" si="2"/>
        <v>0.55597929719422501</v>
      </c>
      <c r="M14" s="84">
        <f t="shared" si="3"/>
        <v>-0.11195859438845002</v>
      </c>
    </row>
    <row r="15" spans="1:13" ht="15" customHeight="1" x14ac:dyDescent="0.4">
      <c r="A15" s="4" t="s">
        <v>30</v>
      </c>
      <c r="B15" s="4" t="s">
        <v>15</v>
      </c>
      <c r="C15" s="5">
        <v>1509</v>
      </c>
      <c r="D15" s="6">
        <v>1</v>
      </c>
      <c r="E15" s="5">
        <v>1508</v>
      </c>
      <c r="F15" s="6">
        <v>47</v>
      </c>
      <c r="G15" s="5">
        <v>1461</v>
      </c>
      <c r="H15" s="6">
        <v>854</v>
      </c>
      <c r="I15" s="6">
        <v>607</v>
      </c>
      <c r="J15" s="98">
        <f t="shared" si="0"/>
        <v>247</v>
      </c>
      <c r="K15" s="33">
        <f t="shared" si="1"/>
        <v>0.58453114305270359</v>
      </c>
      <c r="L15" s="33">
        <f t="shared" si="2"/>
        <v>0.41546885694729635</v>
      </c>
      <c r="M15" s="87">
        <f t="shared" si="3"/>
        <v>0.16906228610540724</v>
      </c>
    </row>
    <row r="16" spans="1:13" ht="15" customHeight="1" x14ac:dyDescent="0.4">
      <c r="A16" s="4" t="s">
        <v>30</v>
      </c>
      <c r="B16" s="4" t="s">
        <v>16</v>
      </c>
      <c r="C16" s="5">
        <v>5017</v>
      </c>
      <c r="D16" s="5">
        <v>2705</v>
      </c>
      <c r="E16" s="5">
        <v>2312</v>
      </c>
      <c r="F16" s="6">
        <v>102</v>
      </c>
      <c r="G16" s="5">
        <v>2210</v>
      </c>
      <c r="H16" s="6">
        <v>776</v>
      </c>
      <c r="I16" s="5">
        <v>1434</v>
      </c>
      <c r="J16" s="98">
        <f t="shared" si="0"/>
        <v>-658</v>
      </c>
      <c r="K16" s="33">
        <f t="shared" si="1"/>
        <v>0.35113122171945699</v>
      </c>
      <c r="L16" s="33">
        <f t="shared" si="2"/>
        <v>0.64886877828054301</v>
      </c>
      <c r="M16" s="87">
        <f t="shared" si="3"/>
        <v>-0.29773755656108603</v>
      </c>
    </row>
    <row r="17" spans="1:19" ht="15" customHeight="1" x14ac:dyDescent="0.4">
      <c r="A17" s="7" t="s">
        <v>31</v>
      </c>
      <c r="B17" s="7" t="s">
        <v>11</v>
      </c>
      <c r="C17" s="5">
        <v>4488</v>
      </c>
      <c r="D17" s="5">
        <v>2092</v>
      </c>
      <c r="E17" s="5">
        <v>2396</v>
      </c>
      <c r="F17" s="6">
        <v>85</v>
      </c>
      <c r="G17" s="8">
        <v>2311</v>
      </c>
      <c r="H17" s="8">
        <v>1088</v>
      </c>
      <c r="I17" s="12">
        <v>1223</v>
      </c>
      <c r="J17" s="99">
        <f t="shared" si="0"/>
        <v>-135</v>
      </c>
      <c r="K17" s="32">
        <f t="shared" si="1"/>
        <v>0.47079186499350928</v>
      </c>
      <c r="L17" s="37">
        <f t="shared" si="2"/>
        <v>0.52920813500649067</v>
      </c>
      <c r="M17" s="84">
        <f t="shared" si="3"/>
        <v>-5.8416270012981386E-2</v>
      </c>
    </row>
    <row r="18" spans="1:19" ht="15" customHeight="1" x14ac:dyDescent="0.4">
      <c r="A18" s="4" t="s">
        <v>31</v>
      </c>
      <c r="B18" s="4" t="s">
        <v>15</v>
      </c>
      <c r="C18" s="6">
        <v>611</v>
      </c>
      <c r="D18" s="6">
        <v>1</v>
      </c>
      <c r="E18" s="6">
        <v>610</v>
      </c>
      <c r="F18" s="6">
        <v>27</v>
      </c>
      <c r="G18" s="6">
        <v>583</v>
      </c>
      <c r="H18" s="6">
        <v>345</v>
      </c>
      <c r="I18" s="6">
        <v>238</v>
      </c>
      <c r="J18" s="98">
        <f t="shared" si="0"/>
        <v>107</v>
      </c>
      <c r="K18" s="33">
        <f t="shared" si="1"/>
        <v>0.59176672384219553</v>
      </c>
      <c r="L18" s="33">
        <f t="shared" si="2"/>
        <v>0.40823327615780447</v>
      </c>
      <c r="M18" s="87">
        <f t="shared" si="3"/>
        <v>0.18353344768439106</v>
      </c>
    </row>
    <row r="19" spans="1:19" ht="15" customHeight="1" x14ac:dyDescent="0.4">
      <c r="A19" s="4" t="s">
        <v>31</v>
      </c>
      <c r="B19" s="4" t="s">
        <v>16</v>
      </c>
      <c r="C19" s="5">
        <v>3877</v>
      </c>
      <c r="D19" s="5">
        <v>2091</v>
      </c>
      <c r="E19" s="5">
        <v>1786</v>
      </c>
      <c r="F19" s="6">
        <v>58</v>
      </c>
      <c r="G19" s="5">
        <v>1728</v>
      </c>
      <c r="H19" s="6">
        <v>743</v>
      </c>
      <c r="I19" s="6">
        <v>985</v>
      </c>
      <c r="J19" s="98">
        <f t="shared" si="0"/>
        <v>-242</v>
      </c>
      <c r="K19" s="33">
        <f t="shared" si="1"/>
        <v>0.42997685185185186</v>
      </c>
      <c r="L19" s="33">
        <f t="shared" si="2"/>
        <v>0.57002314814814814</v>
      </c>
      <c r="M19" s="87">
        <f t="shared" si="3"/>
        <v>-0.14004629629629628</v>
      </c>
    </row>
    <row r="20" spans="1:19" ht="15" customHeight="1" x14ac:dyDescent="0.4">
      <c r="A20" s="7" t="s">
        <v>33</v>
      </c>
      <c r="B20" s="7" t="s">
        <v>11</v>
      </c>
      <c r="C20" s="5">
        <v>13425</v>
      </c>
      <c r="D20" s="5">
        <v>5791</v>
      </c>
      <c r="E20" s="5">
        <v>7634</v>
      </c>
      <c r="F20" s="6">
        <v>199</v>
      </c>
      <c r="G20" s="8">
        <v>7435</v>
      </c>
      <c r="H20" s="9">
        <v>3895</v>
      </c>
      <c r="I20" s="8">
        <v>3540</v>
      </c>
      <c r="J20" s="97">
        <f t="shared" si="0"/>
        <v>355</v>
      </c>
      <c r="K20" s="35">
        <f t="shared" si="1"/>
        <v>0.52387357094821785</v>
      </c>
      <c r="L20" s="32">
        <f t="shared" si="2"/>
        <v>0.4761264290517821</v>
      </c>
      <c r="M20" s="82">
        <f t="shared" si="3"/>
        <v>4.7747141896435752E-2</v>
      </c>
    </row>
    <row r="21" spans="1:19" ht="15" customHeight="1" x14ac:dyDescent="0.4">
      <c r="A21" s="4" t="s">
        <v>33</v>
      </c>
      <c r="B21" s="4" t="s">
        <v>15</v>
      </c>
      <c r="C21" s="5">
        <v>2727</v>
      </c>
      <c r="D21" s="6">
        <v>3</v>
      </c>
      <c r="E21" s="5">
        <v>2724</v>
      </c>
      <c r="F21" s="6">
        <v>54</v>
      </c>
      <c r="G21" s="5">
        <v>2670</v>
      </c>
      <c r="H21" s="5">
        <v>1783</v>
      </c>
      <c r="I21" s="6">
        <v>887</v>
      </c>
      <c r="J21" s="98">
        <f t="shared" si="0"/>
        <v>896</v>
      </c>
      <c r="K21" s="33">
        <f t="shared" si="1"/>
        <v>0.66779026217228465</v>
      </c>
      <c r="L21" s="33">
        <f t="shared" si="2"/>
        <v>0.33220973782771535</v>
      </c>
      <c r="M21" s="87">
        <f t="shared" si="3"/>
        <v>0.33558052434456931</v>
      </c>
    </row>
    <row r="22" spans="1:19" ht="15" customHeight="1" x14ac:dyDescent="0.4">
      <c r="A22" s="4" t="s">
        <v>33</v>
      </c>
      <c r="B22" s="4" t="s">
        <v>16</v>
      </c>
      <c r="C22" s="5">
        <v>10698</v>
      </c>
      <c r="D22" s="5">
        <v>5788</v>
      </c>
      <c r="E22" s="5">
        <v>4910</v>
      </c>
      <c r="F22" s="6">
        <v>145</v>
      </c>
      <c r="G22" s="5">
        <v>4765</v>
      </c>
      <c r="H22" s="5">
        <v>2112</v>
      </c>
      <c r="I22" s="5">
        <v>2653</v>
      </c>
      <c r="J22" s="98">
        <f t="shared" si="0"/>
        <v>-541</v>
      </c>
      <c r="K22" s="33">
        <f t="shared" si="1"/>
        <v>0.44323189926547746</v>
      </c>
      <c r="L22" s="33">
        <f t="shared" si="2"/>
        <v>0.55676810073452254</v>
      </c>
      <c r="M22" s="87">
        <f t="shared" si="3"/>
        <v>-0.11353620146904508</v>
      </c>
    </row>
    <row r="23" spans="1:19" ht="15" customHeight="1" x14ac:dyDescent="0.4">
      <c r="A23" s="7" t="s">
        <v>34</v>
      </c>
      <c r="B23" s="7" t="s">
        <v>11</v>
      </c>
      <c r="C23" s="5">
        <v>6768</v>
      </c>
      <c r="D23" s="5">
        <v>3071</v>
      </c>
      <c r="E23" s="5">
        <v>3697</v>
      </c>
      <c r="F23" s="6">
        <v>99</v>
      </c>
      <c r="G23" s="8">
        <v>3598</v>
      </c>
      <c r="H23" s="8">
        <v>1707</v>
      </c>
      <c r="I23" s="12">
        <v>1891</v>
      </c>
      <c r="J23" s="99">
        <f t="shared" si="0"/>
        <v>-184</v>
      </c>
      <c r="K23" s="32">
        <f t="shared" si="1"/>
        <v>0.47443023902167869</v>
      </c>
      <c r="L23" s="37">
        <f t="shared" si="2"/>
        <v>0.52556976097832131</v>
      </c>
      <c r="M23" s="84">
        <f t="shared" si="3"/>
        <v>-5.113952195664262E-2</v>
      </c>
    </row>
    <row r="24" spans="1:19" ht="15" customHeight="1" x14ac:dyDescent="0.4">
      <c r="A24" s="4" t="s">
        <v>34</v>
      </c>
      <c r="B24" s="4" t="s">
        <v>15</v>
      </c>
      <c r="C24" s="5">
        <v>1068</v>
      </c>
      <c r="D24" s="6">
        <v>1</v>
      </c>
      <c r="E24" s="5">
        <v>1067</v>
      </c>
      <c r="F24" s="6">
        <v>22</v>
      </c>
      <c r="G24" s="5">
        <v>1045</v>
      </c>
      <c r="H24" s="6">
        <v>673</v>
      </c>
      <c r="I24" s="6">
        <v>372</v>
      </c>
      <c r="J24" s="98">
        <f t="shared" si="0"/>
        <v>301</v>
      </c>
      <c r="K24" s="33">
        <f t="shared" si="1"/>
        <v>0.64401913875598082</v>
      </c>
      <c r="L24" s="33">
        <f t="shared" si="2"/>
        <v>0.35598086124401912</v>
      </c>
      <c r="M24" s="87">
        <f t="shared" si="3"/>
        <v>0.2880382775119617</v>
      </c>
    </row>
    <row r="25" spans="1:19" ht="15" customHeight="1" x14ac:dyDescent="0.4">
      <c r="A25" s="4" t="s">
        <v>34</v>
      </c>
      <c r="B25" s="4" t="s">
        <v>16</v>
      </c>
      <c r="C25" s="5">
        <v>5700</v>
      </c>
      <c r="D25" s="5">
        <v>3070</v>
      </c>
      <c r="E25" s="5">
        <v>2630</v>
      </c>
      <c r="F25" s="6">
        <v>77</v>
      </c>
      <c r="G25" s="5">
        <v>2553</v>
      </c>
      <c r="H25" s="5">
        <v>1034</v>
      </c>
      <c r="I25" s="5">
        <v>1519</v>
      </c>
      <c r="J25" s="98">
        <f t="shared" si="0"/>
        <v>-485</v>
      </c>
      <c r="K25" s="33">
        <f t="shared" si="1"/>
        <v>0.40501370936153547</v>
      </c>
      <c r="L25" s="33">
        <f t="shared" si="2"/>
        <v>0.59498629063846453</v>
      </c>
      <c r="M25" s="87">
        <f t="shared" si="3"/>
        <v>-0.18997258127692906</v>
      </c>
    </row>
    <row r="26" spans="1:19" ht="15" customHeight="1" x14ac:dyDescent="0.4">
      <c r="A26" s="7" t="s">
        <v>35</v>
      </c>
      <c r="B26" s="7" t="s">
        <v>11</v>
      </c>
      <c r="C26" s="5">
        <v>13312</v>
      </c>
      <c r="D26" s="5">
        <v>5758</v>
      </c>
      <c r="E26" s="5">
        <v>7554</v>
      </c>
      <c r="F26" s="6">
        <v>169</v>
      </c>
      <c r="G26" s="8">
        <v>7385</v>
      </c>
      <c r="H26" s="9">
        <v>3840</v>
      </c>
      <c r="I26" s="8">
        <v>3545</v>
      </c>
      <c r="J26" s="97">
        <f t="shared" si="0"/>
        <v>295</v>
      </c>
      <c r="K26" s="35">
        <f t="shared" si="1"/>
        <v>0.51997291807718349</v>
      </c>
      <c r="L26" s="32">
        <f t="shared" si="2"/>
        <v>0.48002708192281651</v>
      </c>
      <c r="M26" s="82">
        <f t="shared" si="3"/>
        <v>3.9945836154366976E-2</v>
      </c>
    </row>
    <row r="27" spans="1:19" ht="15" customHeight="1" x14ac:dyDescent="0.4">
      <c r="A27" s="4" t="s">
        <v>35</v>
      </c>
      <c r="B27" s="4" t="s">
        <v>15</v>
      </c>
      <c r="C27" s="5">
        <v>2686</v>
      </c>
      <c r="D27" s="6">
        <v>2</v>
      </c>
      <c r="E27" s="5">
        <v>2684</v>
      </c>
      <c r="F27" s="6">
        <v>64</v>
      </c>
      <c r="G27" s="5">
        <v>2620</v>
      </c>
      <c r="H27" s="5">
        <v>1691</v>
      </c>
      <c r="I27" s="6">
        <v>929</v>
      </c>
      <c r="J27" s="98">
        <f t="shared" si="0"/>
        <v>762</v>
      </c>
      <c r="K27" s="33">
        <f t="shared" si="1"/>
        <v>0.64541984732824431</v>
      </c>
      <c r="L27" s="33">
        <f t="shared" si="2"/>
        <v>0.35458015267175574</v>
      </c>
      <c r="M27" s="87">
        <f t="shared" si="3"/>
        <v>0.29083969465648857</v>
      </c>
    </row>
    <row r="28" spans="1:19" ht="15" customHeight="1" x14ac:dyDescent="0.4">
      <c r="A28" s="4" t="s">
        <v>35</v>
      </c>
      <c r="B28" s="4" t="s">
        <v>16</v>
      </c>
      <c r="C28" s="5">
        <v>10626</v>
      </c>
      <c r="D28" s="5">
        <v>5756</v>
      </c>
      <c r="E28" s="5">
        <v>4870</v>
      </c>
      <c r="F28" s="6">
        <v>105</v>
      </c>
      <c r="G28" s="5">
        <v>4765</v>
      </c>
      <c r="H28" s="5">
        <v>2149</v>
      </c>
      <c r="I28" s="5">
        <v>2616</v>
      </c>
      <c r="J28" s="98">
        <f t="shared" si="0"/>
        <v>-467</v>
      </c>
      <c r="K28" s="33">
        <f t="shared" si="1"/>
        <v>0.45099685204617002</v>
      </c>
      <c r="L28" s="33">
        <f t="shared" si="2"/>
        <v>0.54900314795382998</v>
      </c>
      <c r="M28" s="87">
        <f t="shared" si="3"/>
        <v>-9.8006295907659968E-2</v>
      </c>
    </row>
    <row r="29" spans="1:19" ht="15" customHeight="1" x14ac:dyDescent="0.4">
      <c r="A29" s="4" t="s">
        <v>17</v>
      </c>
      <c r="B29" s="4"/>
      <c r="C29" s="6">
        <v>0</v>
      </c>
      <c r="D29" s="6">
        <v>-20</v>
      </c>
      <c r="E29" s="6">
        <v>20</v>
      </c>
      <c r="F29" s="6">
        <v>4</v>
      </c>
      <c r="G29" s="6">
        <v>16</v>
      </c>
      <c r="H29" s="6">
        <v>14</v>
      </c>
      <c r="I29" s="6">
        <v>2</v>
      </c>
      <c r="J29" s="86"/>
      <c r="K29" s="33"/>
      <c r="L29" s="33"/>
      <c r="M29" s="86"/>
    </row>
    <row r="31" spans="1:19" ht="15" customHeight="1" x14ac:dyDescent="0.4">
      <c r="A31" s="353" t="s">
        <v>80</v>
      </c>
      <c r="B31" s="353"/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</row>
    <row r="32" spans="1:19" ht="15" customHeight="1" x14ac:dyDescent="0.4">
      <c r="A32" s="271" t="s">
        <v>0</v>
      </c>
      <c r="B32" s="271" t="s">
        <v>1</v>
      </c>
      <c r="C32" s="271" t="s">
        <v>2</v>
      </c>
      <c r="D32" s="271" t="s">
        <v>6</v>
      </c>
      <c r="E32" s="271" t="s">
        <v>131</v>
      </c>
      <c r="F32" s="3" t="s">
        <v>5</v>
      </c>
      <c r="G32" s="287" t="s">
        <v>132</v>
      </c>
      <c r="H32" s="289" t="s">
        <v>4</v>
      </c>
      <c r="I32" s="346"/>
      <c r="J32" s="346"/>
      <c r="K32" s="346"/>
      <c r="L32" s="346"/>
      <c r="M32" s="346"/>
      <c r="N32" s="346"/>
      <c r="O32" s="332" t="s">
        <v>109</v>
      </c>
      <c r="P32" s="332"/>
      <c r="Q32" s="332"/>
      <c r="R32" s="333" t="s">
        <v>108</v>
      </c>
      <c r="S32" s="334"/>
    </row>
    <row r="33" spans="1:19" ht="15" customHeight="1" x14ac:dyDescent="0.4">
      <c r="A33" s="271"/>
      <c r="B33" s="271"/>
      <c r="C33" s="271"/>
      <c r="D33" s="271"/>
      <c r="E33" s="271"/>
      <c r="F33" s="287" t="s">
        <v>3</v>
      </c>
      <c r="G33" s="322"/>
      <c r="H33" s="3" t="s">
        <v>18</v>
      </c>
      <c r="I33" s="3" t="s">
        <v>20</v>
      </c>
      <c r="J33" s="3" t="s">
        <v>20</v>
      </c>
      <c r="K33" s="3" t="s">
        <v>39</v>
      </c>
      <c r="L33" s="3" t="s">
        <v>43</v>
      </c>
      <c r="M33" s="320" t="s">
        <v>119</v>
      </c>
      <c r="N33" s="320" t="s">
        <v>120</v>
      </c>
      <c r="O33" s="335" t="s">
        <v>114</v>
      </c>
      <c r="P33" s="335" t="s">
        <v>94</v>
      </c>
      <c r="Q33" s="272" t="s">
        <v>101</v>
      </c>
      <c r="R33" s="337" t="s">
        <v>98</v>
      </c>
      <c r="S33" s="272" t="s">
        <v>101</v>
      </c>
    </row>
    <row r="34" spans="1:19" ht="15" customHeight="1" x14ac:dyDescent="0.4">
      <c r="A34" s="271"/>
      <c r="B34" s="271"/>
      <c r="C34" s="271"/>
      <c r="D34" s="271"/>
      <c r="E34" s="271"/>
      <c r="F34" s="288"/>
      <c r="G34" s="288"/>
      <c r="H34" s="3" t="s">
        <v>66</v>
      </c>
      <c r="I34" s="3" t="s">
        <v>67</v>
      </c>
      <c r="J34" s="3" t="s">
        <v>68</v>
      </c>
      <c r="K34" s="3" t="s">
        <v>69</v>
      </c>
      <c r="L34" s="3" t="s">
        <v>70</v>
      </c>
      <c r="M34" s="321"/>
      <c r="N34" s="321"/>
      <c r="O34" s="336"/>
      <c r="P34" s="336"/>
      <c r="Q34" s="272"/>
      <c r="R34" s="338"/>
      <c r="S34" s="272"/>
    </row>
    <row r="35" spans="1:19" ht="15" customHeight="1" x14ac:dyDescent="0.4">
      <c r="A35" s="7" t="s">
        <v>12</v>
      </c>
      <c r="B35" s="7"/>
      <c r="C35" s="5">
        <v>24445</v>
      </c>
      <c r="D35" s="5">
        <v>9668</v>
      </c>
      <c r="E35" s="5">
        <v>14777</v>
      </c>
      <c r="F35" s="6">
        <v>652</v>
      </c>
      <c r="G35" s="8">
        <v>14125</v>
      </c>
      <c r="H35" s="8">
        <v>5280</v>
      </c>
      <c r="I35" s="8">
        <v>5340</v>
      </c>
      <c r="J35" s="8">
        <v>1962</v>
      </c>
      <c r="K35" s="10">
        <v>584</v>
      </c>
      <c r="L35" s="10">
        <v>959</v>
      </c>
      <c r="M35" s="99">
        <f>H35-(I35+J35)</f>
        <v>-2022</v>
      </c>
      <c r="N35" s="72">
        <f>H35-(I35+J35+K35+L35)</f>
        <v>-3565</v>
      </c>
      <c r="O35" s="32">
        <f>H35/G35</f>
        <v>0.37380530973451326</v>
      </c>
      <c r="P35" s="37">
        <f>(I35+J35)/G35</f>
        <v>0.51695575221238943</v>
      </c>
      <c r="Q35" s="84">
        <f>O35-P35</f>
        <v>-0.14315044247787617</v>
      </c>
      <c r="R35" s="41">
        <f>(I35+J35+K35+L35)/G35</f>
        <v>0.62619469026548669</v>
      </c>
      <c r="S35" s="41">
        <f>O35-R35</f>
        <v>-0.25238938053097343</v>
      </c>
    </row>
    <row r="36" spans="1:19" ht="15" customHeight="1" x14ac:dyDescent="0.4">
      <c r="A36" s="7" t="s">
        <v>13</v>
      </c>
      <c r="B36" s="7"/>
      <c r="C36" s="6">
        <v>67</v>
      </c>
      <c r="D36" s="6">
        <v>11</v>
      </c>
      <c r="E36" s="6">
        <v>56</v>
      </c>
      <c r="F36" s="6">
        <v>2</v>
      </c>
      <c r="G36" s="10">
        <v>54</v>
      </c>
      <c r="H36" s="10">
        <v>18</v>
      </c>
      <c r="I36" s="10">
        <v>21</v>
      </c>
      <c r="J36" s="10">
        <v>5</v>
      </c>
      <c r="K36" s="10">
        <v>4</v>
      </c>
      <c r="L36" s="10">
        <v>6</v>
      </c>
      <c r="M36" s="99">
        <f t="shared" ref="M36:M49" si="4">H36-(I36+J36)</f>
        <v>-8</v>
      </c>
      <c r="N36" s="72">
        <f t="shared" ref="N36:N49" si="5">H36-(I36+J36+K36+L36)</f>
        <v>-18</v>
      </c>
      <c r="O36" s="32">
        <f t="shared" ref="O36:O49" si="6">H36/G36</f>
        <v>0.33333333333333331</v>
      </c>
      <c r="P36" s="37">
        <f t="shared" ref="P36:P49" si="7">(I36+J36)/G36</f>
        <v>0.48148148148148145</v>
      </c>
      <c r="Q36" s="84">
        <f t="shared" ref="Q36:Q49" si="8">O36-P36</f>
        <v>-0.14814814814814814</v>
      </c>
      <c r="R36" s="41">
        <f t="shared" ref="R36:R49" si="9">(I36+J36+K36+L36)/G36</f>
        <v>0.66666666666666663</v>
      </c>
      <c r="S36" s="41">
        <f t="shared" ref="S36:S49" si="10">O36-R36</f>
        <v>-0.33333333333333331</v>
      </c>
    </row>
    <row r="37" spans="1:19" ht="15" customHeight="1" x14ac:dyDescent="0.4">
      <c r="A37" s="7" t="s">
        <v>14</v>
      </c>
      <c r="B37" s="7"/>
      <c r="C37" s="5">
        <v>1453</v>
      </c>
      <c r="D37" s="6">
        <v>1</v>
      </c>
      <c r="E37" s="5">
        <v>1452</v>
      </c>
      <c r="F37" s="6">
        <v>47</v>
      </c>
      <c r="G37" s="8">
        <v>1405</v>
      </c>
      <c r="H37" s="10">
        <v>736</v>
      </c>
      <c r="I37" s="10">
        <v>449</v>
      </c>
      <c r="J37" s="10">
        <v>122</v>
      </c>
      <c r="K37" s="10">
        <v>37</v>
      </c>
      <c r="L37" s="10">
        <v>61</v>
      </c>
      <c r="M37" s="97">
        <f t="shared" si="4"/>
        <v>165</v>
      </c>
      <c r="N37" s="73">
        <f t="shared" si="5"/>
        <v>67</v>
      </c>
      <c r="O37" s="32">
        <f t="shared" si="6"/>
        <v>0.52384341637010678</v>
      </c>
      <c r="P37" s="35">
        <f t="shared" si="7"/>
        <v>0.40640569395017795</v>
      </c>
      <c r="Q37" s="82">
        <f t="shared" si="8"/>
        <v>0.11743772241992884</v>
      </c>
      <c r="R37" s="39">
        <f t="shared" si="9"/>
        <v>0.47615658362989322</v>
      </c>
      <c r="S37" s="39">
        <f t="shared" si="10"/>
        <v>4.7686832740213569E-2</v>
      </c>
    </row>
    <row r="38" spans="1:19" ht="15" customHeight="1" x14ac:dyDescent="0.4">
      <c r="A38" s="7" t="s">
        <v>28</v>
      </c>
      <c r="B38" s="7" t="s">
        <v>11</v>
      </c>
      <c r="C38" s="5">
        <v>7569</v>
      </c>
      <c r="D38" s="5">
        <v>3278</v>
      </c>
      <c r="E38" s="5">
        <v>4291</v>
      </c>
      <c r="F38" s="6">
        <v>184</v>
      </c>
      <c r="G38" s="8">
        <v>4107</v>
      </c>
      <c r="H38" s="8">
        <v>1648</v>
      </c>
      <c r="I38" s="8">
        <v>1657</v>
      </c>
      <c r="J38" s="10">
        <v>649</v>
      </c>
      <c r="K38" s="10">
        <v>54</v>
      </c>
      <c r="L38" s="10">
        <v>99</v>
      </c>
      <c r="M38" s="99">
        <f t="shared" si="4"/>
        <v>-658</v>
      </c>
      <c r="N38" s="72">
        <f t="shared" si="5"/>
        <v>-811</v>
      </c>
      <c r="O38" s="32">
        <f t="shared" si="6"/>
        <v>0.40126613099586073</v>
      </c>
      <c r="P38" s="37">
        <f t="shared" si="7"/>
        <v>0.56148039931823712</v>
      </c>
      <c r="Q38" s="84">
        <f t="shared" si="8"/>
        <v>-0.1602142683223764</v>
      </c>
      <c r="R38" s="41">
        <f t="shared" si="9"/>
        <v>0.59873386900413927</v>
      </c>
      <c r="S38" s="41">
        <f t="shared" si="10"/>
        <v>-0.19746773800827855</v>
      </c>
    </row>
    <row r="39" spans="1:19" ht="15" customHeight="1" x14ac:dyDescent="0.4">
      <c r="A39" s="4" t="s">
        <v>28</v>
      </c>
      <c r="B39" s="4" t="s">
        <v>15</v>
      </c>
      <c r="C39" s="5">
        <v>1117</v>
      </c>
      <c r="D39" s="6">
        <v>0</v>
      </c>
      <c r="E39" s="5">
        <v>1117</v>
      </c>
      <c r="F39" s="6">
        <v>42</v>
      </c>
      <c r="G39" s="5">
        <v>1075</v>
      </c>
      <c r="H39" s="6">
        <v>551</v>
      </c>
      <c r="I39" s="6">
        <v>308</v>
      </c>
      <c r="J39" s="6">
        <v>170</v>
      </c>
      <c r="K39" s="6">
        <v>15</v>
      </c>
      <c r="L39" s="6">
        <v>31</v>
      </c>
      <c r="M39" s="98">
        <f t="shared" si="4"/>
        <v>73</v>
      </c>
      <c r="N39" s="70">
        <f t="shared" si="5"/>
        <v>27</v>
      </c>
      <c r="O39" s="33">
        <f t="shared" si="6"/>
        <v>0.51255813953488372</v>
      </c>
      <c r="P39" s="33">
        <f t="shared" si="7"/>
        <v>0.44465116279069766</v>
      </c>
      <c r="Q39" s="87">
        <f t="shared" si="8"/>
        <v>6.7906976744186054E-2</v>
      </c>
      <c r="R39" s="33">
        <f t="shared" si="9"/>
        <v>0.48744186046511628</v>
      </c>
      <c r="S39" s="33">
        <f t="shared" si="10"/>
        <v>2.5116279069767433E-2</v>
      </c>
    </row>
    <row r="40" spans="1:19" ht="15" customHeight="1" x14ac:dyDescent="0.4">
      <c r="A40" s="4" t="s">
        <v>28</v>
      </c>
      <c r="B40" s="4" t="s">
        <v>16</v>
      </c>
      <c r="C40" s="5">
        <v>6452</v>
      </c>
      <c r="D40" s="5">
        <v>3278</v>
      </c>
      <c r="E40" s="5">
        <v>3174</v>
      </c>
      <c r="F40" s="6">
        <v>142</v>
      </c>
      <c r="G40" s="5">
        <v>3032</v>
      </c>
      <c r="H40" s="5">
        <v>1097</v>
      </c>
      <c r="I40" s="5">
        <v>1349</v>
      </c>
      <c r="J40" s="6">
        <v>479</v>
      </c>
      <c r="K40" s="6">
        <v>39</v>
      </c>
      <c r="L40" s="6">
        <v>68</v>
      </c>
      <c r="M40" s="98">
        <f t="shared" si="4"/>
        <v>-731</v>
      </c>
      <c r="N40" s="70">
        <f t="shared" si="5"/>
        <v>-838</v>
      </c>
      <c r="O40" s="33">
        <f t="shared" si="6"/>
        <v>0.36180738786279681</v>
      </c>
      <c r="P40" s="33">
        <f t="shared" si="7"/>
        <v>0.6029023746701847</v>
      </c>
      <c r="Q40" s="87">
        <f t="shared" si="8"/>
        <v>-0.24109498680738789</v>
      </c>
      <c r="R40" s="33">
        <f t="shared" si="9"/>
        <v>0.63819261213720313</v>
      </c>
      <c r="S40" s="33">
        <f t="shared" si="10"/>
        <v>-0.27638522427440632</v>
      </c>
    </row>
    <row r="41" spans="1:19" ht="15" customHeight="1" x14ac:dyDescent="0.4">
      <c r="A41" s="7" t="s">
        <v>29</v>
      </c>
      <c r="B41" s="7" t="s">
        <v>11</v>
      </c>
      <c r="C41" s="5">
        <v>4342</v>
      </c>
      <c r="D41" s="5">
        <v>1592</v>
      </c>
      <c r="E41" s="5">
        <v>2750</v>
      </c>
      <c r="F41" s="6">
        <v>138</v>
      </c>
      <c r="G41" s="8">
        <v>2612</v>
      </c>
      <c r="H41" s="10">
        <v>877</v>
      </c>
      <c r="I41" s="8">
        <v>1159</v>
      </c>
      <c r="J41" s="10">
        <v>431</v>
      </c>
      <c r="K41" s="10">
        <v>39</v>
      </c>
      <c r="L41" s="10">
        <v>106</v>
      </c>
      <c r="M41" s="99">
        <f t="shared" si="4"/>
        <v>-713</v>
      </c>
      <c r="N41" s="72">
        <f t="shared" si="5"/>
        <v>-858</v>
      </c>
      <c r="O41" s="32">
        <f t="shared" si="6"/>
        <v>0.33575803981623276</v>
      </c>
      <c r="P41" s="37">
        <f t="shared" si="7"/>
        <v>0.60872894333843797</v>
      </c>
      <c r="Q41" s="84">
        <f t="shared" si="8"/>
        <v>-0.27297090352220521</v>
      </c>
      <c r="R41" s="41">
        <f t="shared" si="9"/>
        <v>0.66424196018376724</v>
      </c>
      <c r="S41" s="41">
        <f t="shared" si="10"/>
        <v>-0.32848392036753449</v>
      </c>
    </row>
    <row r="42" spans="1:19" ht="15" customHeight="1" x14ac:dyDescent="0.4">
      <c r="A42" s="4" t="s">
        <v>29</v>
      </c>
      <c r="B42" s="4" t="s">
        <v>15</v>
      </c>
      <c r="C42" s="6">
        <v>934</v>
      </c>
      <c r="D42" s="6">
        <v>3</v>
      </c>
      <c r="E42" s="6">
        <v>931</v>
      </c>
      <c r="F42" s="6">
        <v>29</v>
      </c>
      <c r="G42" s="6">
        <v>902</v>
      </c>
      <c r="H42" s="6">
        <v>418</v>
      </c>
      <c r="I42" s="6">
        <v>310</v>
      </c>
      <c r="J42" s="6">
        <v>121</v>
      </c>
      <c r="K42" s="6">
        <v>11</v>
      </c>
      <c r="L42" s="6">
        <v>42</v>
      </c>
      <c r="M42" s="98">
        <f t="shared" si="4"/>
        <v>-13</v>
      </c>
      <c r="N42" s="70">
        <f t="shared" si="5"/>
        <v>-66</v>
      </c>
      <c r="O42" s="33">
        <f t="shared" si="6"/>
        <v>0.46341463414634149</v>
      </c>
      <c r="P42" s="33">
        <f t="shared" si="7"/>
        <v>0.47782705099778272</v>
      </c>
      <c r="Q42" s="87">
        <f t="shared" si="8"/>
        <v>-1.4412416851441234E-2</v>
      </c>
      <c r="R42" s="33">
        <f t="shared" si="9"/>
        <v>0.53658536585365857</v>
      </c>
      <c r="S42" s="33">
        <f t="shared" si="10"/>
        <v>-7.3170731707317083E-2</v>
      </c>
    </row>
    <row r="43" spans="1:19" ht="15" customHeight="1" x14ac:dyDescent="0.4">
      <c r="A43" s="4" t="s">
        <v>29</v>
      </c>
      <c r="B43" s="4" t="s">
        <v>16</v>
      </c>
      <c r="C43" s="5">
        <v>3408</v>
      </c>
      <c r="D43" s="5">
        <v>1589</v>
      </c>
      <c r="E43" s="5">
        <v>1819</v>
      </c>
      <c r="F43" s="6">
        <v>109</v>
      </c>
      <c r="G43" s="5">
        <v>1710</v>
      </c>
      <c r="H43" s="6">
        <v>459</v>
      </c>
      <c r="I43" s="6">
        <v>849</v>
      </c>
      <c r="J43" s="6">
        <v>310</v>
      </c>
      <c r="K43" s="6">
        <v>28</v>
      </c>
      <c r="L43" s="6">
        <v>64</v>
      </c>
      <c r="M43" s="98">
        <f t="shared" si="4"/>
        <v>-700</v>
      </c>
      <c r="N43" s="70">
        <f t="shared" si="5"/>
        <v>-792</v>
      </c>
      <c r="O43" s="33">
        <f t="shared" si="6"/>
        <v>0.26842105263157895</v>
      </c>
      <c r="P43" s="33">
        <f t="shared" si="7"/>
        <v>0.67777777777777781</v>
      </c>
      <c r="Q43" s="87">
        <f t="shared" si="8"/>
        <v>-0.40935672514619886</v>
      </c>
      <c r="R43" s="33">
        <f t="shared" si="9"/>
        <v>0.73157894736842111</v>
      </c>
      <c r="S43" s="33">
        <f t="shared" si="10"/>
        <v>-0.46315789473684216</v>
      </c>
    </row>
    <row r="44" spans="1:19" ht="15" customHeight="1" x14ac:dyDescent="0.4">
      <c r="A44" s="7" t="s">
        <v>30</v>
      </c>
      <c r="B44" s="7" t="s">
        <v>11</v>
      </c>
      <c r="C44" s="5">
        <v>6526</v>
      </c>
      <c r="D44" s="5">
        <v>2703</v>
      </c>
      <c r="E44" s="5">
        <v>3823</v>
      </c>
      <c r="F44" s="6">
        <v>173</v>
      </c>
      <c r="G44" s="8">
        <v>3650</v>
      </c>
      <c r="H44" s="8">
        <v>1176</v>
      </c>
      <c r="I44" s="8">
        <v>1202</v>
      </c>
      <c r="J44" s="10">
        <v>562</v>
      </c>
      <c r="K44" s="10">
        <v>154</v>
      </c>
      <c r="L44" s="10">
        <v>556</v>
      </c>
      <c r="M44" s="99">
        <f t="shared" si="4"/>
        <v>-588</v>
      </c>
      <c r="N44" s="72">
        <f t="shared" si="5"/>
        <v>-1298</v>
      </c>
      <c r="O44" s="32">
        <f t="shared" si="6"/>
        <v>0.32219178082191779</v>
      </c>
      <c r="P44" s="37">
        <f t="shared" si="7"/>
        <v>0.48328767123287669</v>
      </c>
      <c r="Q44" s="84">
        <f t="shared" si="8"/>
        <v>-0.1610958904109589</v>
      </c>
      <c r="R44" s="41">
        <f t="shared" si="9"/>
        <v>0.67780821917808221</v>
      </c>
      <c r="S44" s="41">
        <f t="shared" si="10"/>
        <v>-0.35561643835616441</v>
      </c>
    </row>
    <row r="45" spans="1:19" ht="15" customHeight="1" x14ac:dyDescent="0.4">
      <c r="A45" s="4" t="s">
        <v>30</v>
      </c>
      <c r="B45" s="4" t="s">
        <v>15</v>
      </c>
      <c r="C45" s="5">
        <v>1509</v>
      </c>
      <c r="D45" s="6">
        <v>0</v>
      </c>
      <c r="E45" s="5">
        <v>1509</v>
      </c>
      <c r="F45" s="6">
        <v>44</v>
      </c>
      <c r="G45" s="5">
        <v>1465</v>
      </c>
      <c r="H45" s="6">
        <v>679</v>
      </c>
      <c r="I45" s="6">
        <v>370</v>
      </c>
      <c r="J45" s="6">
        <v>169</v>
      </c>
      <c r="K45" s="6">
        <v>54</v>
      </c>
      <c r="L45" s="6">
        <v>193</v>
      </c>
      <c r="M45" s="98">
        <f t="shared" si="4"/>
        <v>140</v>
      </c>
      <c r="N45" s="70">
        <f t="shared" si="5"/>
        <v>-107</v>
      </c>
      <c r="O45" s="33">
        <f t="shared" si="6"/>
        <v>0.46348122866894198</v>
      </c>
      <c r="P45" s="33">
        <f t="shared" si="7"/>
        <v>0.36791808873720139</v>
      </c>
      <c r="Q45" s="87">
        <f t="shared" si="8"/>
        <v>9.5563139931740593E-2</v>
      </c>
      <c r="R45" s="33">
        <f t="shared" si="9"/>
        <v>0.53651877133105808</v>
      </c>
      <c r="S45" s="33">
        <f t="shared" si="10"/>
        <v>-7.3037542662116095E-2</v>
      </c>
    </row>
    <row r="46" spans="1:19" ht="15" customHeight="1" x14ac:dyDescent="0.4">
      <c r="A46" s="4" t="s">
        <v>30</v>
      </c>
      <c r="B46" s="4" t="s">
        <v>16</v>
      </c>
      <c r="C46" s="5">
        <v>5017</v>
      </c>
      <c r="D46" s="5">
        <v>2703</v>
      </c>
      <c r="E46" s="5">
        <v>2314</v>
      </c>
      <c r="F46" s="6">
        <v>129</v>
      </c>
      <c r="G46" s="5">
        <v>2185</v>
      </c>
      <c r="H46" s="6">
        <v>497</v>
      </c>
      <c r="I46" s="6">
        <v>832</v>
      </c>
      <c r="J46" s="6">
        <v>393</v>
      </c>
      <c r="K46" s="6">
        <v>100</v>
      </c>
      <c r="L46" s="6">
        <v>363</v>
      </c>
      <c r="M46" s="98">
        <f t="shared" si="4"/>
        <v>-728</v>
      </c>
      <c r="N46" s="70">
        <f t="shared" si="5"/>
        <v>-1191</v>
      </c>
      <c r="O46" s="33">
        <f t="shared" si="6"/>
        <v>0.22745995423340962</v>
      </c>
      <c r="P46" s="33">
        <f t="shared" si="7"/>
        <v>0.5606407322654462</v>
      </c>
      <c r="Q46" s="87">
        <f t="shared" si="8"/>
        <v>-0.33318077803203661</v>
      </c>
      <c r="R46" s="33">
        <f t="shared" si="9"/>
        <v>0.77254004576659041</v>
      </c>
      <c r="S46" s="33">
        <f t="shared" si="10"/>
        <v>-0.54508009153318082</v>
      </c>
    </row>
    <row r="47" spans="1:19" ht="15" customHeight="1" x14ac:dyDescent="0.4">
      <c r="A47" s="7" t="s">
        <v>31</v>
      </c>
      <c r="B47" s="7" t="s">
        <v>11</v>
      </c>
      <c r="C47" s="5">
        <v>4488</v>
      </c>
      <c r="D47" s="5">
        <v>2092</v>
      </c>
      <c r="E47" s="5">
        <v>2396</v>
      </c>
      <c r="F47" s="6">
        <v>106</v>
      </c>
      <c r="G47" s="8">
        <v>2290</v>
      </c>
      <c r="H47" s="10">
        <v>823</v>
      </c>
      <c r="I47" s="10">
        <v>850</v>
      </c>
      <c r="J47" s="10">
        <v>190</v>
      </c>
      <c r="K47" s="10">
        <v>296</v>
      </c>
      <c r="L47" s="10">
        <v>131</v>
      </c>
      <c r="M47" s="99">
        <f t="shared" si="4"/>
        <v>-217</v>
      </c>
      <c r="N47" s="72">
        <f t="shared" si="5"/>
        <v>-644</v>
      </c>
      <c r="O47" s="32">
        <f t="shared" si="6"/>
        <v>0.3593886462882096</v>
      </c>
      <c r="P47" s="37">
        <f t="shared" si="7"/>
        <v>0.45414847161572053</v>
      </c>
      <c r="Q47" s="84">
        <f t="shared" si="8"/>
        <v>-9.4759825327510927E-2</v>
      </c>
      <c r="R47" s="41">
        <f t="shared" si="9"/>
        <v>0.64061135371179034</v>
      </c>
      <c r="S47" s="41">
        <f t="shared" si="10"/>
        <v>-0.28122270742358074</v>
      </c>
    </row>
    <row r="48" spans="1:19" ht="15" customHeight="1" x14ac:dyDescent="0.4">
      <c r="A48" s="4" t="s">
        <v>31</v>
      </c>
      <c r="B48" s="4" t="s">
        <v>15</v>
      </c>
      <c r="C48" s="6">
        <v>611</v>
      </c>
      <c r="D48" s="6">
        <v>0</v>
      </c>
      <c r="E48" s="6">
        <v>611</v>
      </c>
      <c r="F48" s="6">
        <v>27</v>
      </c>
      <c r="G48" s="6">
        <v>584</v>
      </c>
      <c r="H48" s="6">
        <v>272</v>
      </c>
      <c r="I48" s="6">
        <v>165</v>
      </c>
      <c r="J48" s="6">
        <v>38</v>
      </c>
      <c r="K48" s="6">
        <v>77</v>
      </c>
      <c r="L48" s="6">
        <v>32</v>
      </c>
      <c r="M48" s="98">
        <f t="shared" si="4"/>
        <v>69</v>
      </c>
      <c r="N48" s="70">
        <f t="shared" si="5"/>
        <v>-40</v>
      </c>
      <c r="O48" s="33">
        <f t="shared" si="6"/>
        <v>0.46575342465753422</v>
      </c>
      <c r="P48" s="33">
        <f t="shared" si="7"/>
        <v>0.3476027397260274</v>
      </c>
      <c r="Q48" s="87">
        <f t="shared" si="8"/>
        <v>0.11815068493150682</v>
      </c>
      <c r="R48" s="33">
        <f t="shared" si="9"/>
        <v>0.53424657534246578</v>
      </c>
      <c r="S48" s="33">
        <f t="shared" si="10"/>
        <v>-6.8493150684931559E-2</v>
      </c>
    </row>
    <row r="49" spans="1:19" ht="15" customHeight="1" x14ac:dyDescent="0.4">
      <c r="A49" s="4" t="s">
        <v>31</v>
      </c>
      <c r="B49" s="4" t="s">
        <v>16</v>
      </c>
      <c r="C49" s="5">
        <v>3877</v>
      </c>
      <c r="D49" s="5">
        <v>2092</v>
      </c>
      <c r="E49" s="5">
        <v>1785</v>
      </c>
      <c r="F49" s="6">
        <v>79</v>
      </c>
      <c r="G49" s="5">
        <v>1706</v>
      </c>
      <c r="H49" s="6">
        <v>551</v>
      </c>
      <c r="I49" s="6">
        <v>685</v>
      </c>
      <c r="J49" s="6">
        <v>152</v>
      </c>
      <c r="K49" s="6">
        <v>219</v>
      </c>
      <c r="L49" s="6">
        <v>99</v>
      </c>
      <c r="M49" s="98">
        <f t="shared" si="4"/>
        <v>-286</v>
      </c>
      <c r="N49" s="70">
        <f t="shared" si="5"/>
        <v>-604</v>
      </c>
      <c r="O49" s="33">
        <f t="shared" si="6"/>
        <v>0.32297772567409144</v>
      </c>
      <c r="P49" s="33">
        <f t="shared" si="7"/>
        <v>0.49062133645955452</v>
      </c>
      <c r="Q49" s="87">
        <f t="shared" si="8"/>
        <v>-0.16764361078546308</v>
      </c>
      <c r="R49" s="33">
        <f t="shared" si="9"/>
        <v>0.67702227432590856</v>
      </c>
      <c r="S49" s="33">
        <f t="shared" si="10"/>
        <v>-0.35404454865181711</v>
      </c>
    </row>
    <row r="50" spans="1:19" ht="15" customHeight="1" x14ac:dyDescent="0.4">
      <c r="A50" s="4" t="s">
        <v>17</v>
      </c>
      <c r="B50" s="4"/>
      <c r="C50" s="6">
        <v>0</v>
      </c>
      <c r="D50" s="6">
        <v>-9</v>
      </c>
      <c r="E50" s="6">
        <v>9</v>
      </c>
      <c r="F50" s="6">
        <v>2</v>
      </c>
      <c r="G50" s="6">
        <v>7</v>
      </c>
      <c r="H50" s="6">
        <v>2</v>
      </c>
      <c r="I50" s="6">
        <v>2</v>
      </c>
      <c r="J50" s="6">
        <v>3</v>
      </c>
      <c r="K50" s="6">
        <v>0</v>
      </c>
      <c r="L50" s="6">
        <v>0</v>
      </c>
      <c r="M50" s="86"/>
      <c r="N50" s="34"/>
      <c r="O50" s="33"/>
      <c r="P50" s="34"/>
      <c r="Q50" s="87"/>
      <c r="R50" s="33"/>
      <c r="S50" s="33"/>
    </row>
    <row r="51" spans="1:19" ht="15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</row>
    <row r="52" spans="1:19" ht="15" customHeight="1" x14ac:dyDescent="0.4">
      <c r="A52" s="350" t="s">
        <v>81</v>
      </c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2"/>
      <c r="O52"/>
      <c r="P52"/>
      <c r="Q52"/>
      <c r="R52"/>
      <c r="S52"/>
    </row>
    <row r="53" spans="1:19" ht="15" customHeight="1" x14ac:dyDescent="0.4">
      <c r="A53" s="271" t="s">
        <v>0</v>
      </c>
      <c r="B53" s="271" t="s">
        <v>1</v>
      </c>
      <c r="C53" s="271" t="s">
        <v>2</v>
      </c>
      <c r="D53" s="271" t="s">
        <v>6</v>
      </c>
      <c r="E53" s="271" t="s">
        <v>131</v>
      </c>
      <c r="F53" s="3" t="s">
        <v>5</v>
      </c>
      <c r="G53" s="287" t="s">
        <v>132</v>
      </c>
      <c r="H53" s="271" t="s">
        <v>4</v>
      </c>
      <c r="I53" s="271"/>
      <c r="J53" s="271"/>
      <c r="K53" s="271"/>
      <c r="L53" s="332" t="s">
        <v>88</v>
      </c>
      <c r="M53" s="332"/>
      <c r="N53" s="332"/>
      <c r="O53"/>
      <c r="P53"/>
      <c r="Q53"/>
      <c r="R53"/>
      <c r="S53"/>
    </row>
    <row r="54" spans="1:19" ht="15" customHeight="1" x14ac:dyDescent="0.4">
      <c r="A54" s="271"/>
      <c r="B54" s="271"/>
      <c r="C54" s="271"/>
      <c r="D54" s="271"/>
      <c r="E54" s="271"/>
      <c r="F54" s="287" t="s">
        <v>3</v>
      </c>
      <c r="G54" s="322"/>
      <c r="H54" s="3" t="s">
        <v>18</v>
      </c>
      <c r="I54" s="3" t="s">
        <v>18</v>
      </c>
      <c r="J54" s="3" t="s">
        <v>20</v>
      </c>
      <c r="K54" s="287" t="s">
        <v>115</v>
      </c>
      <c r="L54" s="332" t="s">
        <v>113</v>
      </c>
      <c r="M54" s="332" t="s">
        <v>97</v>
      </c>
      <c r="N54" s="271" t="s">
        <v>101</v>
      </c>
      <c r="O54"/>
      <c r="P54"/>
      <c r="Q54"/>
      <c r="R54"/>
      <c r="S54"/>
    </row>
    <row r="55" spans="1:19" ht="15" customHeight="1" x14ac:dyDescent="0.4">
      <c r="A55" s="271"/>
      <c r="B55" s="271"/>
      <c r="C55" s="271"/>
      <c r="D55" s="271"/>
      <c r="E55" s="271"/>
      <c r="F55" s="288"/>
      <c r="G55" s="288"/>
      <c r="H55" s="3" t="s">
        <v>71</v>
      </c>
      <c r="I55" s="3" t="s">
        <v>72</v>
      </c>
      <c r="J55" s="3" t="s">
        <v>73</v>
      </c>
      <c r="K55" s="288"/>
      <c r="L55" s="332"/>
      <c r="M55" s="332"/>
      <c r="N55" s="271"/>
      <c r="O55"/>
      <c r="P55"/>
      <c r="Q55"/>
      <c r="R55"/>
      <c r="S55"/>
    </row>
    <row r="56" spans="1:19" ht="15" customHeight="1" x14ac:dyDescent="0.4">
      <c r="A56" s="7" t="s">
        <v>12</v>
      </c>
      <c r="B56" s="7"/>
      <c r="C56" s="5">
        <v>36212</v>
      </c>
      <c r="D56" s="5">
        <v>14620</v>
      </c>
      <c r="E56" s="5">
        <v>21592</v>
      </c>
      <c r="F56" s="6">
        <v>758</v>
      </c>
      <c r="G56" s="8">
        <v>20834</v>
      </c>
      <c r="H56" s="8">
        <v>8614</v>
      </c>
      <c r="I56" s="8">
        <v>2580</v>
      </c>
      <c r="J56" s="8">
        <v>9640</v>
      </c>
      <c r="K56" s="97">
        <f>(H56+I56)-J56</f>
        <v>1554</v>
      </c>
      <c r="L56" s="35">
        <f>(H56+I56)/G56</f>
        <v>0.53729480656618989</v>
      </c>
      <c r="M56" s="32">
        <f>J56/G56</f>
        <v>0.46270519343381011</v>
      </c>
      <c r="N56" s="82">
        <f>L56-M56</f>
        <v>7.4589613132379773E-2</v>
      </c>
      <c r="O56"/>
      <c r="P56"/>
      <c r="Q56"/>
      <c r="R56"/>
      <c r="S56"/>
    </row>
    <row r="57" spans="1:19" ht="15" customHeight="1" x14ac:dyDescent="0.4">
      <c r="A57" s="7" t="s">
        <v>13</v>
      </c>
      <c r="B57" s="7"/>
      <c r="C57" s="6">
        <v>45</v>
      </c>
      <c r="D57" s="6">
        <v>7</v>
      </c>
      <c r="E57" s="6">
        <v>38</v>
      </c>
      <c r="F57" s="6">
        <v>1</v>
      </c>
      <c r="G57" s="10">
        <v>37</v>
      </c>
      <c r="H57" s="10">
        <v>13</v>
      </c>
      <c r="I57" s="10">
        <v>5</v>
      </c>
      <c r="J57" s="10">
        <v>19</v>
      </c>
      <c r="K57" s="99">
        <f t="shared" ref="K57:K67" si="11">(H57+I57)-J57</f>
        <v>-1</v>
      </c>
      <c r="L57" s="32">
        <f t="shared" ref="L57:L67" si="12">(H57+I57)/G57</f>
        <v>0.48648648648648651</v>
      </c>
      <c r="M57" s="37">
        <f t="shared" ref="M57:M67" si="13">J57/G57</f>
        <v>0.51351351351351349</v>
      </c>
      <c r="N57" s="84">
        <f t="shared" ref="N57:N67" si="14">L57-M57</f>
        <v>-2.7027027027026973E-2</v>
      </c>
      <c r="O57"/>
      <c r="P57"/>
      <c r="Q57"/>
      <c r="R57"/>
      <c r="S57"/>
    </row>
    <row r="58" spans="1:19" ht="15" customHeight="1" x14ac:dyDescent="0.4">
      <c r="A58" s="7" t="s">
        <v>14</v>
      </c>
      <c r="B58" s="7"/>
      <c r="C58" s="5">
        <v>2662</v>
      </c>
      <c r="D58" s="6">
        <v>1</v>
      </c>
      <c r="E58" s="5">
        <v>2661</v>
      </c>
      <c r="F58" s="6">
        <v>71</v>
      </c>
      <c r="G58" s="8">
        <v>2590</v>
      </c>
      <c r="H58" s="8">
        <v>1230</v>
      </c>
      <c r="I58" s="10">
        <v>361</v>
      </c>
      <c r="J58" s="10">
        <v>999</v>
      </c>
      <c r="K58" s="97">
        <f t="shared" si="11"/>
        <v>592</v>
      </c>
      <c r="L58" s="35">
        <f t="shared" si="12"/>
        <v>0.61428571428571432</v>
      </c>
      <c r="M58" s="32">
        <f t="shared" si="13"/>
        <v>0.38571428571428573</v>
      </c>
      <c r="N58" s="82">
        <f t="shared" si="14"/>
        <v>0.22857142857142859</v>
      </c>
      <c r="O58"/>
      <c r="P58"/>
      <c r="Q58"/>
      <c r="R58"/>
      <c r="S58"/>
    </row>
    <row r="59" spans="1:19" ht="15" customHeight="1" x14ac:dyDescent="0.4">
      <c r="A59" s="7" t="s">
        <v>33</v>
      </c>
      <c r="B59" s="7" t="s">
        <v>11</v>
      </c>
      <c r="C59" s="5">
        <v>13425</v>
      </c>
      <c r="D59" s="5">
        <v>5794</v>
      </c>
      <c r="E59" s="5">
        <v>7631</v>
      </c>
      <c r="F59" s="6">
        <v>263</v>
      </c>
      <c r="G59" s="8">
        <v>7368</v>
      </c>
      <c r="H59" s="8">
        <v>3040</v>
      </c>
      <c r="I59" s="10">
        <v>792</v>
      </c>
      <c r="J59" s="8">
        <v>3536</v>
      </c>
      <c r="K59" s="97">
        <f t="shared" si="11"/>
        <v>296</v>
      </c>
      <c r="L59" s="35">
        <f t="shared" si="12"/>
        <v>0.52008686210640609</v>
      </c>
      <c r="M59" s="32">
        <f t="shared" si="13"/>
        <v>0.47991313789359391</v>
      </c>
      <c r="N59" s="82">
        <f t="shared" si="14"/>
        <v>4.0173724212812179E-2</v>
      </c>
      <c r="O59"/>
      <c r="P59"/>
      <c r="Q59"/>
      <c r="R59"/>
      <c r="S59"/>
    </row>
    <row r="60" spans="1:19" ht="15" customHeight="1" x14ac:dyDescent="0.4">
      <c r="A60" s="4" t="s">
        <v>33</v>
      </c>
      <c r="B60" s="4" t="s">
        <v>15</v>
      </c>
      <c r="C60" s="5">
        <v>2727</v>
      </c>
      <c r="D60" s="6">
        <v>2</v>
      </c>
      <c r="E60" s="5">
        <v>2725</v>
      </c>
      <c r="F60" s="6">
        <v>53</v>
      </c>
      <c r="G60" s="5">
        <v>2672</v>
      </c>
      <c r="H60" s="5">
        <v>1410</v>
      </c>
      <c r="I60" s="6">
        <v>334</v>
      </c>
      <c r="J60" s="6">
        <v>928</v>
      </c>
      <c r="K60" s="98">
        <f t="shared" si="11"/>
        <v>816</v>
      </c>
      <c r="L60" s="33">
        <f t="shared" si="12"/>
        <v>0.65269461077844315</v>
      </c>
      <c r="M60" s="33">
        <f t="shared" si="13"/>
        <v>0.3473053892215569</v>
      </c>
      <c r="N60" s="87">
        <f t="shared" si="14"/>
        <v>0.30538922155688625</v>
      </c>
      <c r="O60"/>
      <c r="P60"/>
      <c r="Q60"/>
      <c r="R60"/>
      <c r="S60"/>
    </row>
    <row r="61" spans="1:19" ht="15" customHeight="1" x14ac:dyDescent="0.4">
      <c r="A61" s="4" t="s">
        <v>33</v>
      </c>
      <c r="B61" s="4" t="s">
        <v>16</v>
      </c>
      <c r="C61" s="5">
        <v>10698</v>
      </c>
      <c r="D61" s="5">
        <v>5792</v>
      </c>
      <c r="E61" s="5">
        <v>4906</v>
      </c>
      <c r="F61" s="6">
        <v>210</v>
      </c>
      <c r="G61" s="5">
        <v>4696</v>
      </c>
      <c r="H61" s="5">
        <v>1630</v>
      </c>
      <c r="I61" s="6">
        <v>458</v>
      </c>
      <c r="J61" s="5">
        <v>2608</v>
      </c>
      <c r="K61" s="98">
        <f t="shared" si="11"/>
        <v>-520</v>
      </c>
      <c r="L61" s="33">
        <f t="shared" si="12"/>
        <v>0.44463373083475299</v>
      </c>
      <c r="M61" s="33">
        <f t="shared" si="13"/>
        <v>0.55536626916524701</v>
      </c>
      <c r="N61" s="87">
        <f t="shared" si="14"/>
        <v>-0.11073253833049401</v>
      </c>
      <c r="O61"/>
      <c r="P61"/>
      <c r="Q61"/>
      <c r="R61"/>
      <c r="S61"/>
    </row>
    <row r="62" spans="1:19" ht="15" customHeight="1" x14ac:dyDescent="0.4">
      <c r="A62" s="7" t="s">
        <v>34</v>
      </c>
      <c r="B62" s="7" t="s">
        <v>11</v>
      </c>
      <c r="C62" s="5">
        <v>6768</v>
      </c>
      <c r="D62" s="5">
        <v>3076</v>
      </c>
      <c r="E62" s="5">
        <v>3692</v>
      </c>
      <c r="F62" s="6">
        <v>140</v>
      </c>
      <c r="G62" s="8">
        <v>3552</v>
      </c>
      <c r="H62" s="8">
        <v>1302</v>
      </c>
      <c r="I62" s="10">
        <v>424</v>
      </c>
      <c r="J62" s="8">
        <v>1826</v>
      </c>
      <c r="K62" s="99">
        <f t="shared" si="11"/>
        <v>-100</v>
      </c>
      <c r="L62" s="32">
        <f t="shared" si="12"/>
        <v>0.48592342342342343</v>
      </c>
      <c r="M62" s="37">
        <f t="shared" si="13"/>
        <v>0.51407657657657657</v>
      </c>
      <c r="N62" s="84">
        <f t="shared" si="14"/>
        <v>-2.8153153153153143E-2</v>
      </c>
      <c r="O62"/>
      <c r="P62"/>
      <c r="Q62"/>
      <c r="R62"/>
      <c r="S62"/>
    </row>
    <row r="63" spans="1:19" ht="15" customHeight="1" x14ac:dyDescent="0.4">
      <c r="A63" s="4" t="s">
        <v>34</v>
      </c>
      <c r="B63" s="4" t="s">
        <v>15</v>
      </c>
      <c r="C63" s="5">
        <v>1068</v>
      </c>
      <c r="D63" s="6">
        <v>0</v>
      </c>
      <c r="E63" s="5">
        <v>1068</v>
      </c>
      <c r="F63" s="6">
        <v>30</v>
      </c>
      <c r="G63" s="5">
        <v>1038</v>
      </c>
      <c r="H63" s="6">
        <v>504</v>
      </c>
      <c r="I63" s="6">
        <v>166</v>
      </c>
      <c r="J63" s="6">
        <v>368</v>
      </c>
      <c r="K63" s="98">
        <f t="shared" si="11"/>
        <v>302</v>
      </c>
      <c r="L63" s="33">
        <f t="shared" si="12"/>
        <v>0.64547206165703275</v>
      </c>
      <c r="M63" s="33">
        <f t="shared" si="13"/>
        <v>0.35452793834296725</v>
      </c>
      <c r="N63" s="87">
        <f t="shared" si="14"/>
        <v>0.29094412331406549</v>
      </c>
      <c r="O63"/>
      <c r="P63"/>
      <c r="Q63"/>
      <c r="R63"/>
      <c r="S63"/>
    </row>
    <row r="64" spans="1:19" ht="15" customHeight="1" x14ac:dyDescent="0.4">
      <c r="A64" s="4" t="s">
        <v>34</v>
      </c>
      <c r="B64" s="4" t="s">
        <v>16</v>
      </c>
      <c r="C64" s="5">
        <v>5700</v>
      </c>
      <c r="D64" s="5">
        <v>3076</v>
      </c>
      <c r="E64" s="5">
        <v>2624</v>
      </c>
      <c r="F64" s="6">
        <v>110</v>
      </c>
      <c r="G64" s="5">
        <v>2514</v>
      </c>
      <c r="H64" s="6">
        <v>798</v>
      </c>
      <c r="I64" s="6">
        <v>258</v>
      </c>
      <c r="J64" s="5">
        <v>1458</v>
      </c>
      <c r="K64" s="98">
        <f t="shared" si="11"/>
        <v>-402</v>
      </c>
      <c r="L64" s="33">
        <f t="shared" si="12"/>
        <v>0.42004773269689738</v>
      </c>
      <c r="M64" s="33">
        <f t="shared" si="13"/>
        <v>0.57995226730310268</v>
      </c>
      <c r="N64" s="87">
        <f t="shared" si="14"/>
        <v>-0.1599045346062053</v>
      </c>
      <c r="O64"/>
      <c r="P64"/>
      <c r="Q64"/>
      <c r="R64"/>
      <c r="S64"/>
    </row>
    <row r="65" spans="1:19" ht="15" customHeight="1" x14ac:dyDescent="0.4">
      <c r="A65" s="7" t="s">
        <v>35</v>
      </c>
      <c r="B65" s="7" t="s">
        <v>11</v>
      </c>
      <c r="C65" s="5">
        <v>13312</v>
      </c>
      <c r="D65" s="5">
        <v>5763</v>
      </c>
      <c r="E65" s="5">
        <v>7549</v>
      </c>
      <c r="F65" s="6">
        <v>282</v>
      </c>
      <c r="G65" s="8">
        <v>7267</v>
      </c>
      <c r="H65" s="8">
        <v>3019</v>
      </c>
      <c r="I65" s="10">
        <v>996</v>
      </c>
      <c r="J65" s="8">
        <v>3252</v>
      </c>
      <c r="K65" s="97">
        <f t="shared" si="11"/>
        <v>763</v>
      </c>
      <c r="L65" s="35">
        <f t="shared" si="12"/>
        <v>0.55249759185358471</v>
      </c>
      <c r="M65" s="32">
        <f t="shared" si="13"/>
        <v>0.44750240814641529</v>
      </c>
      <c r="N65" s="82">
        <f t="shared" si="14"/>
        <v>0.10499518370716943</v>
      </c>
      <c r="O65"/>
      <c r="P65"/>
      <c r="Q65"/>
      <c r="R65"/>
      <c r="S65"/>
    </row>
    <row r="66" spans="1:19" ht="15" customHeight="1" x14ac:dyDescent="0.4">
      <c r="A66" s="4" t="s">
        <v>35</v>
      </c>
      <c r="B66" s="4" t="s">
        <v>15</v>
      </c>
      <c r="C66" s="5">
        <v>2686</v>
      </c>
      <c r="D66" s="6">
        <v>1</v>
      </c>
      <c r="E66" s="5">
        <v>2685</v>
      </c>
      <c r="F66" s="6">
        <v>56</v>
      </c>
      <c r="G66" s="5">
        <v>2629</v>
      </c>
      <c r="H66" s="5">
        <v>1384</v>
      </c>
      <c r="I66" s="6">
        <v>405</v>
      </c>
      <c r="J66" s="6">
        <v>840</v>
      </c>
      <c r="K66" s="98">
        <f t="shared" si="11"/>
        <v>949</v>
      </c>
      <c r="L66" s="33">
        <f t="shared" si="12"/>
        <v>0.68048687713959677</v>
      </c>
      <c r="M66" s="33">
        <f t="shared" si="13"/>
        <v>0.31951312286040318</v>
      </c>
      <c r="N66" s="87">
        <f t="shared" si="14"/>
        <v>0.36097375427919359</v>
      </c>
      <c r="O66"/>
      <c r="P66"/>
      <c r="Q66"/>
      <c r="R66"/>
      <c r="S66"/>
    </row>
    <row r="67" spans="1:19" ht="15" customHeight="1" x14ac:dyDescent="0.4">
      <c r="A67" s="4" t="s">
        <v>35</v>
      </c>
      <c r="B67" s="4" t="s">
        <v>16</v>
      </c>
      <c r="C67" s="5">
        <v>10626</v>
      </c>
      <c r="D67" s="5">
        <v>5762</v>
      </c>
      <c r="E67" s="5">
        <v>4864</v>
      </c>
      <c r="F67" s="6">
        <v>226</v>
      </c>
      <c r="G67" s="5">
        <v>4638</v>
      </c>
      <c r="H67" s="5">
        <v>1635</v>
      </c>
      <c r="I67" s="6">
        <v>591</v>
      </c>
      <c r="J67" s="5">
        <v>2412</v>
      </c>
      <c r="K67" s="98">
        <f t="shared" si="11"/>
        <v>-186</v>
      </c>
      <c r="L67" s="33">
        <f t="shared" si="12"/>
        <v>0.47994825355756793</v>
      </c>
      <c r="M67" s="33">
        <f t="shared" si="13"/>
        <v>0.52005174644243213</v>
      </c>
      <c r="N67" s="87">
        <f t="shared" si="14"/>
        <v>-4.01034928848642E-2</v>
      </c>
      <c r="O67"/>
      <c r="P67"/>
      <c r="Q67"/>
      <c r="R67"/>
      <c r="S67"/>
    </row>
    <row r="68" spans="1:19" ht="15" customHeight="1" x14ac:dyDescent="0.4">
      <c r="A68" s="4" t="s">
        <v>17</v>
      </c>
      <c r="B68" s="4"/>
      <c r="C68" s="6">
        <v>0</v>
      </c>
      <c r="D68" s="6">
        <v>-21</v>
      </c>
      <c r="E68" s="6">
        <v>21</v>
      </c>
      <c r="F68" s="6">
        <v>1</v>
      </c>
      <c r="G68" s="6">
        <v>20</v>
      </c>
      <c r="H68" s="6">
        <v>10</v>
      </c>
      <c r="I68" s="6">
        <v>2</v>
      </c>
      <c r="J68" s="6">
        <v>8</v>
      </c>
      <c r="K68" s="86"/>
      <c r="L68" s="33"/>
      <c r="M68" s="33"/>
      <c r="N68" s="87"/>
      <c r="O68"/>
      <c r="P68"/>
      <c r="Q68"/>
      <c r="R68"/>
      <c r="S68"/>
    </row>
    <row r="69" spans="1:19" ht="15" customHeight="1" x14ac:dyDescent="0.4">
      <c r="O69"/>
      <c r="P69"/>
      <c r="Q69"/>
      <c r="R69"/>
      <c r="S69"/>
    </row>
  </sheetData>
  <mergeCells count="46">
    <mergeCell ref="N54:N55"/>
    <mergeCell ref="R32:S32"/>
    <mergeCell ref="R33:R34"/>
    <mergeCell ref="S33:S34"/>
    <mergeCell ref="A31:S31"/>
    <mergeCell ref="A32:A34"/>
    <mergeCell ref="B32:B34"/>
    <mergeCell ref="C32:C34"/>
    <mergeCell ref="E32:E34"/>
    <mergeCell ref="D32:D34"/>
    <mergeCell ref="O33:O34"/>
    <mergeCell ref="Q33:Q34"/>
    <mergeCell ref="P33:P34"/>
    <mergeCell ref="O32:Q32"/>
    <mergeCell ref="J3:J4"/>
    <mergeCell ref="K2:M2"/>
    <mergeCell ref="L54:L55"/>
    <mergeCell ref="M54:M55"/>
    <mergeCell ref="H53:K53"/>
    <mergeCell ref="M3:M4"/>
    <mergeCell ref="A52:N52"/>
    <mergeCell ref="A53:A55"/>
    <mergeCell ref="B53:B55"/>
    <mergeCell ref="C53:C55"/>
    <mergeCell ref="E53:E55"/>
    <mergeCell ref="D53:D55"/>
    <mergeCell ref="G53:G55"/>
    <mergeCell ref="F54:F55"/>
    <mergeCell ref="K54:K55"/>
    <mergeCell ref="L53:N53"/>
    <mergeCell ref="A1:M1"/>
    <mergeCell ref="G32:G34"/>
    <mergeCell ref="F33:F34"/>
    <mergeCell ref="M33:M34"/>
    <mergeCell ref="H32:N32"/>
    <mergeCell ref="N33:N34"/>
    <mergeCell ref="K3:K4"/>
    <mergeCell ref="L3:L4"/>
    <mergeCell ref="A2:A4"/>
    <mergeCell ref="B2:B4"/>
    <mergeCell ref="C2:C4"/>
    <mergeCell ref="E2:E4"/>
    <mergeCell ref="H2:J2"/>
    <mergeCell ref="D2:D4"/>
    <mergeCell ref="G2:G4"/>
    <mergeCell ref="F3:F4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B1EF-19E5-455C-8816-AFE459058B17}">
  <dimension ref="A1:W51"/>
  <sheetViews>
    <sheetView topLeftCell="D1" workbookViewId="0">
      <selection activeCell="V12" sqref="V12"/>
    </sheetView>
  </sheetViews>
  <sheetFormatPr defaultRowHeight="14.4" customHeight="1" x14ac:dyDescent="0.4"/>
  <cols>
    <col min="1" max="15" width="8.796875" style="28"/>
    <col min="16" max="23" width="8.796875" style="31"/>
    <col min="24" max="16384" width="8.796875" style="28"/>
  </cols>
  <sheetData>
    <row r="1" spans="1:23" ht="14.4" customHeight="1" x14ac:dyDescent="0.4">
      <c r="A1" s="271" t="s">
        <v>0</v>
      </c>
      <c r="B1" s="271" t="s">
        <v>1</v>
      </c>
      <c r="C1" s="271" t="s">
        <v>2</v>
      </c>
      <c r="D1" s="271" t="s">
        <v>6</v>
      </c>
      <c r="E1" s="271" t="s">
        <v>131</v>
      </c>
      <c r="F1" s="3" t="s">
        <v>5</v>
      </c>
      <c r="G1" s="271" t="s">
        <v>132</v>
      </c>
      <c r="H1" s="271" t="s">
        <v>83</v>
      </c>
      <c r="I1" s="271"/>
      <c r="J1" s="271"/>
      <c r="K1" s="271"/>
      <c r="L1" s="271"/>
      <c r="M1" s="271"/>
      <c r="N1" s="271" t="s">
        <v>106</v>
      </c>
      <c r="O1" s="271" t="s">
        <v>122</v>
      </c>
      <c r="P1" s="332" t="s">
        <v>99</v>
      </c>
      <c r="Q1" s="332"/>
      <c r="R1" s="332"/>
      <c r="S1" s="332"/>
      <c r="T1" s="332"/>
      <c r="U1" s="332"/>
      <c r="V1" s="332" t="s">
        <v>123</v>
      </c>
      <c r="W1" s="332" t="s">
        <v>121</v>
      </c>
    </row>
    <row r="2" spans="1:23" ht="14.4" customHeight="1" x14ac:dyDescent="0.4">
      <c r="A2" s="271"/>
      <c r="B2" s="271"/>
      <c r="C2" s="271"/>
      <c r="D2" s="271"/>
      <c r="E2" s="271"/>
      <c r="F2" s="3" t="s">
        <v>3</v>
      </c>
      <c r="G2" s="271"/>
      <c r="H2" s="3" t="s">
        <v>18</v>
      </c>
      <c r="I2" s="3" t="s">
        <v>20</v>
      </c>
      <c r="J2" s="3" t="s">
        <v>84</v>
      </c>
      <c r="K2" s="3" t="s">
        <v>64</v>
      </c>
      <c r="L2" s="3" t="s">
        <v>85</v>
      </c>
      <c r="M2" s="3" t="s">
        <v>86</v>
      </c>
      <c r="N2" s="271"/>
      <c r="O2" s="271"/>
      <c r="P2" s="21" t="s">
        <v>18</v>
      </c>
      <c r="Q2" s="21" t="s">
        <v>20</v>
      </c>
      <c r="R2" s="21" t="s">
        <v>84</v>
      </c>
      <c r="S2" s="21" t="s">
        <v>64</v>
      </c>
      <c r="T2" s="21" t="s">
        <v>85</v>
      </c>
      <c r="U2" s="21" t="s">
        <v>86</v>
      </c>
      <c r="V2" s="332"/>
      <c r="W2" s="332"/>
    </row>
    <row r="3" spans="1:23" s="29" customFormat="1" ht="14.4" customHeight="1" x14ac:dyDescent="0.4">
      <c r="A3" s="7" t="s">
        <v>12</v>
      </c>
      <c r="B3" s="7"/>
      <c r="C3" s="5">
        <v>148383</v>
      </c>
      <c r="D3" s="5">
        <v>59575</v>
      </c>
      <c r="E3" s="5">
        <v>88808</v>
      </c>
      <c r="F3" s="5">
        <v>1845</v>
      </c>
      <c r="G3" s="8">
        <v>86963</v>
      </c>
      <c r="H3" s="9">
        <v>42194</v>
      </c>
      <c r="I3" s="8">
        <v>39629</v>
      </c>
      <c r="J3" s="8">
        <v>2568</v>
      </c>
      <c r="K3" s="10">
        <v>870</v>
      </c>
      <c r="L3" s="10">
        <v>676</v>
      </c>
      <c r="M3" s="8">
        <v>1026</v>
      </c>
      <c r="N3" s="81">
        <f>H3-I3</f>
        <v>2565</v>
      </c>
      <c r="O3" s="24">
        <f>(H3+J3+K3+L3+M3)-I3</f>
        <v>7705</v>
      </c>
      <c r="P3" s="35">
        <f>H3/G3</f>
        <v>0.48519485298345272</v>
      </c>
      <c r="Q3" s="32">
        <f>I3/G3</f>
        <v>0.45569955038349641</v>
      </c>
      <c r="R3" s="32">
        <f>J3/G3</f>
        <v>2.9529800029897774E-2</v>
      </c>
      <c r="S3" s="32">
        <f>K3/G3</f>
        <v>1.0004254683026114E-2</v>
      </c>
      <c r="T3" s="32">
        <f>L3/G3</f>
        <v>7.7734208801444292E-3</v>
      </c>
      <c r="U3" s="32">
        <f>M3/G3</f>
        <v>1.1798121039982521E-2</v>
      </c>
      <c r="V3" s="100">
        <f>P3-Q3</f>
        <v>2.9495302599956308E-2</v>
      </c>
      <c r="W3" s="39">
        <f>(P3+R3+S3+T3+U3)-Q3</f>
        <v>8.860089923300718E-2</v>
      </c>
    </row>
    <row r="4" spans="1:23" s="29" customFormat="1" ht="14.4" customHeight="1" x14ac:dyDescent="0.4">
      <c r="A4" s="7" t="s">
        <v>13</v>
      </c>
      <c r="B4" s="7"/>
      <c r="C4" s="6">
        <v>311</v>
      </c>
      <c r="D4" s="6">
        <v>28</v>
      </c>
      <c r="E4" s="6">
        <v>283</v>
      </c>
      <c r="F4" s="6">
        <v>16</v>
      </c>
      <c r="G4" s="10">
        <v>267</v>
      </c>
      <c r="H4" s="10">
        <v>101</v>
      </c>
      <c r="I4" s="11">
        <v>122</v>
      </c>
      <c r="J4" s="10">
        <v>24</v>
      </c>
      <c r="K4" s="10">
        <v>6</v>
      </c>
      <c r="L4" s="10">
        <v>6</v>
      </c>
      <c r="M4" s="10">
        <v>8</v>
      </c>
      <c r="N4" s="83">
        <f t="shared" ref="N4:N50" si="0">H4-I4</f>
        <v>-21</v>
      </c>
      <c r="O4" s="24">
        <f t="shared" ref="O4:O50" si="1">(H4+J4+K4+L4+M4)-I4</f>
        <v>23</v>
      </c>
      <c r="P4" s="32">
        <f t="shared" ref="P4:P50" si="2">H4/G4</f>
        <v>0.37827715355805241</v>
      </c>
      <c r="Q4" s="37">
        <f t="shared" ref="Q4:Q50" si="3">I4/G4</f>
        <v>0.45692883895131087</v>
      </c>
      <c r="R4" s="32">
        <f t="shared" ref="R4:R50" si="4">J4/G4</f>
        <v>8.98876404494382E-2</v>
      </c>
      <c r="S4" s="32">
        <f t="shared" ref="S4:S50" si="5">K4/G4</f>
        <v>2.247191011235955E-2</v>
      </c>
      <c r="T4" s="32">
        <f t="shared" ref="T4:T50" si="6">L4/G4</f>
        <v>2.247191011235955E-2</v>
      </c>
      <c r="U4" s="32">
        <f t="shared" ref="U4:U50" si="7">M4/G4</f>
        <v>2.9962546816479401E-2</v>
      </c>
      <c r="V4" s="101">
        <f t="shared" ref="V4:V50" si="8">P4-Q4</f>
        <v>-7.8651685393258453E-2</v>
      </c>
      <c r="W4" s="39">
        <f t="shared" ref="W4:W50" si="9">(P4+R4+S4+T4+U4)-Q4</f>
        <v>8.6142322097378154E-2</v>
      </c>
    </row>
    <row r="5" spans="1:23" s="29" customFormat="1" ht="14.4" customHeight="1" x14ac:dyDescent="0.4">
      <c r="A5" s="7" t="s">
        <v>14</v>
      </c>
      <c r="B5" s="7"/>
      <c r="C5" s="5">
        <v>10035</v>
      </c>
      <c r="D5" s="6">
        <v>4</v>
      </c>
      <c r="E5" s="5">
        <v>10031</v>
      </c>
      <c r="F5" s="6">
        <v>170</v>
      </c>
      <c r="G5" s="8">
        <v>9861</v>
      </c>
      <c r="H5" s="9">
        <v>5707</v>
      </c>
      <c r="I5" s="8">
        <v>3458</v>
      </c>
      <c r="J5" s="10">
        <v>344</v>
      </c>
      <c r="K5" s="10">
        <v>121</v>
      </c>
      <c r="L5" s="10">
        <v>79</v>
      </c>
      <c r="M5" s="10">
        <v>152</v>
      </c>
      <c r="N5" s="81">
        <f t="shared" si="0"/>
        <v>2249</v>
      </c>
      <c r="O5" s="24">
        <f t="shared" si="1"/>
        <v>2945</v>
      </c>
      <c r="P5" s="35">
        <f t="shared" si="2"/>
        <v>0.57874454923435759</v>
      </c>
      <c r="Q5" s="32">
        <f t="shared" si="3"/>
        <v>0.35067437379576105</v>
      </c>
      <c r="R5" s="32">
        <f t="shared" si="4"/>
        <v>3.488490011155055E-2</v>
      </c>
      <c r="S5" s="32">
        <f t="shared" si="5"/>
        <v>1.2270560795051212E-2</v>
      </c>
      <c r="T5" s="32">
        <f t="shared" si="6"/>
        <v>8.0113578744549236E-3</v>
      </c>
      <c r="U5" s="32">
        <f t="shared" si="7"/>
        <v>1.5414258188824663E-2</v>
      </c>
      <c r="V5" s="100">
        <f t="shared" si="8"/>
        <v>0.22807017543859653</v>
      </c>
      <c r="W5" s="39">
        <f t="shared" si="9"/>
        <v>0.2986512524084779</v>
      </c>
    </row>
    <row r="6" spans="1:23" s="29" customFormat="1" ht="14.4" customHeight="1" x14ac:dyDescent="0.4">
      <c r="A6" s="7" t="s">
        <v>22</v>
      </c>
      <c r="B6" s="7" t="s">
        <v>11</v>
      </c>
      <c r="C6" s="5">
        <v>10344</v>
      </c>
      <c r="D6" s="5">
        <v>4610</v>
      </c>
      <c r="E6" s="5">
        <v>5734</v>
      </c>
      <c r="F6" s="6">
        <v>135</v>
      </c>
      <c r="G6" s="8">
        <v>5599</v>
      </c>
      <c r="H6" s="9">
        <v>2766</v>
      </c>
      <c r="I6" s="8">
        <v>2526</v>
      </c>
      <c r="J6" s="10">
        <v>146</v>
      </c>
      <c r="K6" s="10">
        <v>63</v>
      </c>
      <c r="L6" s="10">
        <v>44</v>
      </c>
      <c r="M6" s="10">
        <v>54</v>
      </c>
      <c r="N6" s="81">
        <f t="shared" si="0"/>
        <v>240</v>
      </c>
      <c r="O6" s="24">
        <f t="shared" si="1"/>
        <v>547</v>
      </c>
      <c r="P6" s="35">
        <f t="shared" si="2"/>
        <v>0.49401678871227006</v>
      </c>
      <c r="Q6" s="32">
        <f t="shared" si="3"/>
        <v>0.45115199142704054</v>
      </c>
      <c r="R6" s="32">
        <f t="shared" si="4"/>
        <v>2.6076085015181282E-2</v>
      </c>
      <c r="S6" s="32">
        <f t="shared" si="5"/>
        <v>1.1252009287372746E-2</v>
      </c>
      <c r="T6" s="32">
        <f t="shared" si="6"/>
        <v>7.8585461689587421E-3</v>
      </c>
      <c r="U6" s="32">
        <f t="shared" si="7"/>
        <v>9.6445793891766392E-3</v>
      </c>
      <c r="V6" s="100">
        <f t="shared" si="8"/>
        <v>4.2864797285229517E-2</v>
      </c>
      <c r="W6" s="39">
        <f t="shared" si="9"/>
        <v>9.7696017145919023E-2</v>
      </c>
    </row>
    <row r="7" spans="1:23" ht="14.4" customHeight="1" x14ac:dyDescent="0.4">
      <c r="A7" s="4" t="s">
        <v>22</v>
      </c>
      <c r="B7" s="4" t="s">
        <v>15</v>
      </c>
      <c r="C7" s="5">
        <v>2114</v>
      </c>
      <c r="D7" s="6">
        <v>0</v>
      </c>
      <c r="E7" s="5">
        <v>2114</v>
      </c>
      <c r="F7" s="6">
        <v>40</v>
      </c>
      <c r="G7" s="5">
        <v>2074</v>
      </c>
      <c r="H7" s="5">
        <v>1313</v>
      </c>
      <c r="I7" s="6">
        <v>636</v>
      </c>
      <c r="J7" s="6">
        <v>54</v>
      </c>
      <c r="K7" s="6">
        <v>28</v>
      </c>
      <c r="L7" s="6">
        <v>25</v>
      </c>
      <c r="M7" s="6">
        <v>18</v>
      </c>
      <c r="N7" s="85">
        <f t="shared" si="0"/>
        <v>677</v>
      </c>
      <c r="O7" s="5">
        <f t="shared" si="1"/>
        <v>802</v>
      </c>
      <c r="P7" s="33">
        <f t="shared" si="2"/>
        <v>0.63307618129218901</v>
      </c>
      <c r="Q7" s="33">
        <f t="shared" si="3"/>
        <v>0.30665380906460943</v>
      </c>
      <c r="R7" s="33">
        <f t="shared" si="4"/>
        <v>2.6036644165863067E-2</v>
      </c>
      <c r="S7" s="33">
        <f t="shared" si="5"/>
        <v>1.3500482160077145E-2</v>
      </c>
      <c r="T7" s="33">
        <f t="shared" si="6"/>
        <v>1.2054001928640309E-2</v>
      </c>
      <c r="U7" s="33">
        <f t="shared" si="7"/>
        <v>8.6788813886210219E-3</v>
      </c>
      <c r="V7" s="87">
        <f t="shared" si="8"/>
        <v>0.32642237222757958</v>
      </c>
      <c r="W7" s="33">
        <f t="shared" si="9"/>
        <v>0.38669238187078109</v>
      </c>
    </row>
    <row r="8" spans="1:23" ht="14.4" customHeight="1" x14ac:dyDescent="0.4">
      <c r="A8" s="4" t="s">
        <v>22</v>
      </c>
      <c r="B8" s="4" t="s">
        <v>16</v>
      </c>
      <c r="C8" s="5">
        <v>8230</v>
      </c>
      <c r="D8" s="5">
        <v>4610</v>
      </c>
      <c r="E8" s="5">
        <v>3620</v>
      </c>
      <c r="F8" s="6">
        <v>95</v>
      </c>
      <c r="G8" s="5">
        <v>3525</v>
      </c>
      <c r="H8" s="5">
        <v>1453</v>
      </c>
      <c r="I8" s="5">
        <v>1890</v>
      </c>
      <c r="J8" s="6">
        <v>92</v>
      </c>
      <c r="K8" s="6">
        <v>35</v>
      </c>
      <c r="L8" s="6">
        <v>19</v>
      </c>
      <c r="M8" s="6">
        <v>36</v>
      </c>
      <c r="N8" s="85">
        <f t="shared" si="0"/>
        <v>-437</v>
      </c>
      <c r="O8" s="5">
        <f t="shared" si="1"/>
        <v>-255</v>
      </c>
      <c r="P8" s="33">
        <f t="shared" si="2"/>
        <v>0.41219858156028366</v>
      </c>
      <c r="Q8" s="33">
        <f t="shared" si="3"/>
        <v>0.53617021276595744</v>
      </c>
      <c r="R8" s="33">
        <f t="shared" si="4"/>
        <v>2.6099290780141844E-2</v>
      </c>
      <c r="S8" s="33">
        <f t="shared" si="5"/>
        <v>9.9290780141843976E-3</v>
      </c>
      <c r="T8" s="33">
        <f t="shared" si="6"/>
        <v>5.3900709219858152E-3</v>
      </c>
      <c r="U8" s="33">
        <f t="shared" si="7"/>
        <v>1.0212765957446808E-2</v>
      </c>
      <c r="V8" s="87">
        <f t="shared" si="8"/>
        <v>-0.12397163120567378</v>
      </c>
      <c r="W8" s="33">
        <f t="shared" si="9"/>
        <v>-7.2340425531914943E-2</v>
      </c>
    </row>
    <row r="9" spans="1:23" s="29" customFormat="1" ht="14.4" customHeight="1" x14ac:dyDescent="0.4">
      <c r="A9" s="7" t="s">
        <v>23</v>
      </c>
      <c r="B9" s="7" t="s">
        <v>11</v>
      </c>
      <c r="C9" s="5">
        <v>5911</v>
      </c>
      <c r="D9" s="5">
        <v>2228</v>
      </c>
      <c r="E9" s="5">
        <v>3683</v>
      </c>
      <c r="F9" s="6">
        <v>94</v>
      </c>
      <c r="G9" s="8">
        <v>3589</v>
      </c>
      <c r="H9" s="9">
        <v>1705</v>
      </c>
      <c r="I9" s="8">
        <v>1660</v>
      </c>
      <c r="J9" s="10">
        <v>121</v>
      </c>
      <c r="K9" s="10">
        <v>32</v>
      </c>
      <c r="L9" s="10">
        <v>25</v>
      </c>
      <c r="M9" s="10">
        <v>46</v>
      </c>
      <c r="N9" s="81">
        <f t="shared" si="0"/>
        <v>45</v>
      </c>
      <c r="O9" s="24">
        <f t="shared" si="1"/>
        <v>269</v>
      </c>
      <c r="P9" s="35">
        <f t="shared" si="2"/>
        <v>0.47506269155753694</v>
      </c>
      <c r="Q9" s="32">
        <f t="shared" si="3"/>
        <v>0.46252438005015323</v>
      </c>
      <c r="R9" s="32">
        <f t="shared" si="4"/>
        <v>3.3714126497631655E-2</v>
      </c>
      <c r="S9" s="32">
        <f t="shared" si="5"/>
        <v>8.9161326274728343E-3</v>
      </c>
      <c r="T9" s="32">
        <f t="shared" si="6"/>
        <v>6.9657286152131513E-3</v>
      </c>
      <c r="U9" s="32">
        <f t="shared" si="7"/>
        <v>1.2816940651992199E-2</v>
      </c>
      <c r="V9" s="82">
        <f t="shared" si="8"/>
        <v>1.2538311507383715E-2</v>
      </c>
      <c r="W9" s="39">
        <f t="shared" si="9"/>
        <v>7.49512398996936E-2</v>
      </c>
    </row>
    <row r="10" spans="1:23" ht="14.4" customHeight="1" x14ac:dyDescent="0.4">
      <c r="A10" s="4" t="s">
        <v>23</v>
      </c>
      <c r="B10" s="4" t="s">
        <v>15</v>
      </c>
      <c r="C10" s="5">
        <v>1424</v>
      </c>
      <c r="D10" s="6">
        <v>0</v>
      </c>
      <c r="E10" s="5">
        <v>1424</v>
      </c>
      <c r="F10" s="6">
        <v>26</v>
      </c>
      <c r="G10" s="5">
        <v>1398</v>
      </c>
      <c r="H10" s="6">
        <v>839</v>
      </c>
      <c r="I10" s="6">
        <v>463</v>
      </c>
      <c r="J10" s="6">
        <v>50</v>
      </c>
      <c r="K10" s="6">
        <v>17</v>
      </c>
      <c r="L10" s="6">
        <v>13</v>
      </c>
      <c r="M10" s="6">
        <v>16</v>
      </c>
      <c r="N10" s="85">
        <f t="shared" si="0"/>
        <v>376</v>
      </c>
      <c r="O10" s="5">
        <f t="shared" si="1"/>
        <v>472</v>
      </c>
      <c r="P10" s="33">
        <f t="shared" si="2"/>
        <v>0.60014306151645203</v>
      </c>
      <c r="Q10" s="33">
        <f t="shared" si="3"/>
        <v>0.33118741058655221</v>
      </c>
      <c r="R10" s="33">
        <f t="shared" si="4"/>
        <v>3.5765379113018601E-2</v>
      </c>
      <c r="S10" s="33">
        <f t="shared" si="5"/>
        <v>1.2160228898426323E-2</v>
      </c>
      <c r="T10" s="33">
        <f t="shared" si="6"/>
        <v>9.2989985693848354E-3</v>
      </c>
      <c r="U10" s="33">
        <f t="shared" si="7"/>
        <v>1.1444921316165951E-2</v>
      </c>
      <c r="V10" s="87">
        <f t="shared" si="8"/>
        <v>0.26895565092989981</v>
      </c>
      <c r="W10" s="33">
        <f t="shared" si="9"/>
        <v>0.33762517882689547</v>
      </c>
    </row>
    <row r="11" spans="1:23" ht="14.4" customHeight="1" x14ac:dyDescent="0.4">
      <c r="A11" s="4" t="s">
        <v>23</v>
      </c>
      <c r="B11" s="4" t="s">
        <v>16</v>
      </c>
      <c r="C11" s="5">
        <v>4487</v>
      </c>
      <c r="D11" s="5">
        <v>2228</v>
      </c>
      <c r="E11" s="5">
        <v>2259</v>
      </c>
      <c r="F11" s="6">
        <v>68</v>
      </c>
      <c r="G11" s="5">
        <v>2191</v>
      </c>
      <c r="H11" s="6">
        <v>866</v>
      </c>
      <c r="I11" s="5">
        <v>1197</v>
      </c>
      <c r="J11" s="6">
        <v>71</v>
      </c>
      <c r="K11" s="6">
        <v>15</v>
      </c>
      <c r="L11" s="6">
        <v>12</v>
      </c>
      <c r="M11" s="6">
        <v>30</v>
      </c>
      <c r="N11" s="85">
        <f t="shared" si="0"/>
        <v>-331</v>
      </c>
      <c r="O11" s="5">
        <f t="shared" si="1"/>
        <v>-203</v>
      </c>
      <c r="P11" s="33">
        <f t="shared" si="2"/>
        <v>0.39525330899132816</v>
      </c>
      <c r="Q11" s="33">
        <f t="shared" si="3"/>
        <v>0.54632587859424919</v>
      </c>
      <c r="R11" s="33">
        <f t="shared" si="4"/>
        <v>3.2405294386125057E-2</v>
      </c>
      <c r="S11" s="33">
        <f t="shared" si="5"/>
        <v>6.8461889548151527E-3</v>
      </c>
      <c r="T11" s="33">
        <f t="shared" si="6"/>
        <v>5.4769511638521227E-3</v>
      </c>
      <c r="U11" s="33">
        <f t="shared" si="7"/>
        <v>1.3692377909630305E-2</v>
      </c>
      <c r="V11" s="87">
        <f t="shared" si="8"/>
        <v>-0.15107256960292104</v>
      </c>
      <c r="W11" s="33">
        <f t="shared" si="9"/>
        <v>-9.265175718849844E-2</v>
      </c>
    </row>
    <row r="12" spans="1:23" s="29" customFormat="1" ht="14.4" customHeight="1" x14ac:dyDescent="0.4">
      <c r="A12" s="7" t="s">
        <v>24</v>
      </c>
      <c r="B12" s="7" t="s">
        <v>11</v>
      </c>
      <c r="C12" s="5">
        <v>4473</v>
      </c>
      <c r="D12" s="5">
        <v>1804</v>
      </c>
      <c r="E12" s="5">
        <v>2669</v>
      </c>
      <c r="F12" s="6">
        <v>84</v>
      </c>
      <c r="G12" s="8">
        <v>2585</v>
      </c>
      <c r="H12" s="8">
        <v>1011</v>
      </c>
      <c r="I12" s="12">
        <v>1461</v>
      </c>
      <c r="J12" s="10">
        <v>55</v>
      </c>
      <c r="K12" s="10">
        <v>22</v>
      </c>
      <c r="L12" s="10">
        <v>15</v>
      </c>
      <c r="M12" s="10">
        <v>21</v>
      </c>
      <c r="N12" s="83">
        <f t="shared" si="0"/>
        <v>-450</v>
      </c>
      <c r="O12" s="26">
        <f t="shared" si="1"/>
        <v>-337</v>
      </c>
      <c r="P12" s="32">
        <f t="shared" si="2"/>
        <v>0.39110251450676981</v>
      </c>
      <c r="Q12" s="37">
        <f t="shared" si="3"/>
        <v>0.56518375241779495</v>
      </c>
      <c r="R12" s="32">
        <f t="shared" si="4"/>
        <v>2.1276595744680851E-2</v>
      </c>
      <c r="S12" s="32">
        <f t="shared" si="5"/>
        <v>8.5106382978723406E-3</v>
      </c>
      <c r="T12" s="32">
        <f t="shared" si="6"/>
        <v>5.8027079303675051E-3</v>
      </c>
      <c r="U12" s="32">
        <f t="shared" si="7"/>
        <v>8.1237911025145073E-3</v>
      </c>
      <c r="V12" s="84">
        <f t="shared" si="8"/>
        <v>-0.17408123791102514</v>
      </c>
      <c r="W12" s="41">
        <f t="shared" si="9"/>
        <v>-0.13036750483558995</v>
      </c>
    </row>
    <row r="13" spans="1:23" ht="14.4" customHeight="1" x14ac:dyDescent="0.4">
      <c r="A13" s="4" t="s">
        <v>24</v>
      </c>
      <c r="B13" s="4" t="s">
        <v>15</v>
      </c>
      <c r="C13" s="6">
        <v>829</v>
      </c>
      <c r="D13" s="6">
        <v>0</v>
      </c>
      <c r="E13" s="6">
        <v>829</v>
      </c>
      <c r="F13" s="6">
        <v>26</v>
      </c>
      <c r="G13" s="6">
        <v>803</v>
      </c>
      <c r="H13" s="6">
        <v>399</v>
      </c>
      <c r="I13" s="6">
        <v>370</v>
      </c>
      <c r="J13" s="6">
        <v>16</v>
      </c>
      <c r="K13" s="6">
        <v>6</v>
      </c>
      <c r="L13" s="6">
        <v>3</v>
      </c>
      <c r="M13" s="6">
        <v>9</v>
      </c>
      <c r="N13" s="85">
        <f t="shared" si="0"/>
        <v>29</v>
      </c>
      <c r="O13" s="5">
        <f t="shared" si="1"/>
        <v>63</v>
      </c>
      <c r="P13" s="33">
        <f t="shared" si="2"/>
        <v>0.49688667496886674</v>
      </c>
      <c r="Q13" s="33">
        <f t="shared" si="3"/>
        <v>0.46077210460772106</v>
      </c>
      <c r="R13" s="33">
        <f t="shared" si="4"/>
        <v>1.9925280199252802E-2</v>
      </c>
      <c r="S13" s="33">
        <f t="shared" si="5"/>
        <v>7.4719800747198011E-3</v>
      </c>
      <c r="T13" s="33">
        <f t="shared" si="6"/>
        <v>3.7359900373599006E-3</v>
      </c>
      <c r="U13" s="33">
        <f t="shared" si="7"/>
        <v>1.1207970112079701E-2</v>
      </c>
      <c r="V13" s="87">
        <f t="shared" si="8"/>
        <v>3.6114570361145681E-2</v>
      </c>
      <c r="W13" s="33">
        <f t="shared" si="9"/>
        <v>7.8455790784557944E-2</v>
      </c>
    </row>
    <row r="14" spans="1:23" ht="14.4" customHeight="1" x14ac:dyDescent="0.4">
      <c r="A14" s="4" t="s">
        <v>24</v>
      </c>
      <c r="B14" s="4" t="s">
        <v>16</v>
      </c>
      <c r="C14" s="5">
        <v>3644</v>
      </c>
      <c r="D14" s="5">
        <v>1804</v>
      </c>
      <c r="E14" s="5">
        <v>1840</v>
      </c>
      <c r="F14" s="6">
        <v>58</v>
      </c>
      <c r="G14" s="5">
        <v>1782</v>
      </c>
      <c r="H14" s="6">
        <v>612</v>
      </c>
      <c r="I14" s="5">
        <v>1091</v>
      </c>
      <c r="J14" s="6">
        <v>39</v>
      </c>
      <c r="K14" s="6">
        <v>16</v>
      </c>
      <c r="L14" s="6">
        <v>12</v>
      </c>
      <c r="M14" s="6">
        <v>12</v>
      </c>
      <c r="N14" s="85">
        <f t="shared" si="0"/>
        <v>-479</v>
      </c>
      <c r="O14" s="5">
        <f t="shared" si="1"/>
        <v>-400</v>
      </c>
      <c r="P14" s="33">
        <f t="shared" si="2"/>
        <v>0.34343434343434343</v>
      </c>
      <c r="Q14" s="33">
        <f t="shared" si="3"/>
        <v>0.61223344556677894</v>
      </c>
      <c r="R14" s="33">
        <f t="shared" si="4"/>
        <v>2.1885521885521887E-2</v>
      </c>
      <c r="S14" s="33">
        <f t="shared" si="5"/>
        <v>8.9786756453423128E-3</v>
      </c>
      <c r="T14" s="33">
        <f t="shared" si="6"/>
        <v>6.7340067340067337E-3</v>
      </c>
      <c r="U14" s="33">
        <f t="shared" si="7"/>
        <v>6.7340067340067337E-3</v>
      </c>
      <c r="V14" s="87">
        <f t="shared" si="8"/>
        <v>-0.26879910213243552</v>
      </c>
      <c r="W14" s="33">
        <f t="shared" si="9"/>
        <v>-0.22446689113355778</v>
      </c>
    </row>
    <row r="15" spans="1:23" s="29" customFormat="1" ht="14.4" customHeight="1" x14ac:dyDescent="0.4">
      <c r="A15" s="7" t="s">
        <v>25</v>
      </c>
      <c r="B15" s="7" t="s">
        <v>11</v>
      </c>
      <c r="C15" s="5">
        <v>2870</v>
      </c>
      <c r="D15" s="5">
        <v>1016</v>
      </c>
      <c r="E15" s="5">
        <v>1854</v>
      </c>
      <c r="F15" s="6">
        <v>62</v>
      </c>
      <c r="G15" s="8">
        <v>1792</v>
      </c>
      <c r="H15" s="10">
        <v>695</v>
      </c>
      <c r="I15" s="12">
        <v>1036</v>
      </c>
      <c r="J15" s="10">
        <v>32</v>
      </c>
      <c r="K15" s="10">
        <v>8</v>
      </c>
      <c r="L15" s="10">
        <v>11</v>
      </c>
      <c r="M15" s="10">
        <v>10</v>
      </c>
      <c r="N15" s="83">
        <f t="shared" si="0"/>
        <v>-341</v>
      </c>
      <c r="O15" s="26">
        <f t="shared" si="1"/>
        <v>-280</v>
      </c>
      <c r="P15" s="32">
        <f t="shared" si="2"/>
        <v>0.38783482142857145</v>
      </c>
      <c r="Q15" s="37">
        <f t="shared" si="3"/>
        <v>0.578125</v>
      </c>
      <c r="R15" s="32">
        <f t="shared" si="4"/>
        <v>1.7857142857142856E-2</v>
      </c>
      <c r="S15" s="32">
        <f t="shared" si="5"/>
        <v>4.464285714285714E-3</v>
      </c>
      <c r="T15" s="32">
        <f t="shared" si="6"/>
        <v>6.138392857142857E-3</v>
      </c>
      <c r="U15" s="32">
        <f t="shared" si="7"/>
        <v>5.580357142857143E-3</v>
      </c>
      <c r="V15" s="84">
        <f t="shared" si="8"/>
        <v>-0.19029017857142855</v>
      </c>
      <c r="W15" s="41">
        <f t="shared" si="9"/>
        <v>-0.15625</v>
      </c>
    </row>
    <row r="16" spans="1:23" ht="14.4" customHeight="1" x14ac:dyDescent="0.4">
      <c r="A16" s="4" t="s">
        <v>25</v>
      </c>
      <c r="B16" s="4" t="s">
        <v>15</v>
      </c>
      <c r="C16" s="6">
        <v>685</v>
      </c>
      <c r="D16" s="6">
        <v>0</v>
      </c>
      <c r="E16" s="6">
        <v>685</v>
      </c>
      <c r="F16" s="6">
        <v>27</v>
      </c>
      <c r="G16" s="6">
        <v>658</v>
      </c>
      <c r="H16" s="6">
        <v>335</v>
      </c>
      <c r="I16" s="6">
        <v>306</v>
      </c>
      <c r="J16" s="6">
        <v>9</v>
      </c>
      <c r="K16" s="6">
        <v>0</v>
      </c>
      <c r="L16" s="6">
        <v>3</v>
      </c>
      <c r="M16" s="6">
        <v>5</v>
      </c>
      <c r="N16" s="85">
        <f t="shared" si="0"/>
        <v>29</v>
      </c>
      <c r="O16" s="5">
        <f t="shared" si="1"/>
        <v>46</v>
      </c>
      <c r="P16" s="33">
        <f t="shared" si="2"/>
        <v>0.50911854103343468</v>
      </c>
      <c r="Q16" s="33">
        <f t="shared" si="3"/>
        <v>0.46504559270516715</v>
      </c>
      <c r="R16" s="33">
        <f t="shared" si="4"/>
        <v>1.3677811550151976E-2</v>
      </c>
      <c r="S16" s="33">
        <f t="shared" si="5"/>
        <v>0</v>
      </c>
      <c r="T16" s="33">
        <f t="shared" si="6"/>
        <v>4.559270516717325E-3</v>
      </c>
      <c r="U16" s="33">
        <f t="shared" si="7"/>
        <v>7.5987841945288756E-3</v>
      </c>
      <c r="V16" s="87">
        <f t="shared" si="8"/>
        <v>4.4072948328267525E-2</v>
      </c>
      <c r="W16" s="33">
        <f t="shared" si="9"/>
        <v>6.9908814589665746E-2</v>
      </c>
    </row>
    <row r="17" spans="1:23" ht="14.4" customHeight="1" x14ac:dyDescent="0.4">
      <c r="A17" s="4" t="s">
        <v>25</v>
      </c>
      <c r="B17" s="4" t="s">
        <v>16</v>
      </c>
      <c r="C17" s="5">
        <v>2185</v>
      </c>
      <c r="D17" s="5">
        <v>1016</v>
      </c>
      <c r="E17" s="5">
        <v>1169</v>
      </c>
      <c r="F17" s="6">
        <v>35</v>
      </c>
      <c r="G17" s="5">
        <v>1134</v>
      </c>
      <c r="H17" s="6">
        <v>360</v>
      </c>
      <c r="I17" s="6">
        <v>730</v>
      </c>
      <c r="J17" s="6">
        <v>23</v>
      </c>
      <c r="K17" s="6">
        <v>8</v>
      </c>
      <c r="L17" s="6">
        <v>8</v>
      </c>
      <c r="M17" s="6">
        <v>5</v>
      </c>
      <c r="N17" s="85">
        <f t="shared" si="0"/>
        <v>-370</v>
      </c>
      <c r="O17" s="5">
        <f t="shared" si="1"/>
        <v>-326</v>
      </c>
      <c r="P17" s="33">
        <f t="shared" si="2"/>
        <v>0.31746031746031744</v>
      </c>
      <c r="Q17" s="33">
        <f t="shared" si="3"/>
        <v>0.64373897707231043</v>
      </c>
      <c r="R17" s="33">
        <f t="shared" si="4"/>
        <v>2.0282186948853614E-2</v>
      </c>
      <c r="S17" s="33">
        <f t="shared" si="5"/>
        <v>7.0546737213403876E-3</v>
      </c>
      <c r="T17" s="33">
        <f t="shared" si="6"/>
        <v>7.0546737213403876E-3</v>
      </c>
      <c r="U17" s="33">
        <f t="shared" si="7"/>
        <v>4.4091710758377423E-3</v>
      </c>
      <c r="V17" s="87">
        <f t="shared" si="8"/>
        <v>-0.32627865961199298</v>
      </c>
      <c r="W17" s="33">
        <f t="shared" si="9"/>
        <v>-0.28747795414462085</v>
      </c>
    </row>
    <row r="18" spans="1:23" s="29" customFormat="1" ht="14.4" customHeight="1" x14ac:dyDescent="0.4">
      <c r="A18" s="7" t="s">
        <v>26</v>
      </c>
      <c r="B18" s="7" t="s">
        <v>11</v>
      </c>
      <c r="C18" s="5">
        <v>6257</v>
      </c>
      <c r="D18" s="5">
        <v>2684</v>
      </c>
      <c r="E18" s="5">
        <v>3573</v>
      </c>
      <c r="F18" s="6">
        <v>114</v>
      </c>
      <c r="G18" s="8">
        <v>3459</v>
      </c>
      <c r="H18" s="8">
        <v>1629</v>
      </c>
      <c r="I18" s="12">
        <v>1641</v>
      </c>
      <c r="J18" s="10">
        <v>84</v>
      </c>
      <c r="K18" s="10">
        <v>53</v>
      </c>
      <c r="L18" s="10">
        <v>21</v>
      </c>
      <c r="M18" s="10">
        <v>31</v>
      </c>
      <c r="N18" s="83">
        <f t="shared" si="0"/>
        <v>-12</v>
      </c>
      <c r="O18" s="24">
        <f t="shared" si="1"/>
        <v>177</v>
      </c>
      <c r="P18" s="32">
        <f t="shared" si="2"/>
        <v>0.47094535993061576</v>
      </c>
      <c r="Q18" s="37">
        <f t="shared" si="3"/>
        <v>0.47441457068516912</v>
      </c>
      <c r="R18" s="32">
        <f t="shared" si="4"/>
        <v>2.4284475281873375E-2</v>
      </c>
      <c r="S18" s="32">
        <f t="shared" si="5"/>
        <v>1.5322347499277248E-2</v>
      </c>
      <c r="T18" s="32">
        <f t="shared" si="6"/>
        <v>6.0711188204683438E-3</v>
      </c>
      <c r="U18" s="32">
        <f t="shared" si="7"/>
        <v>8.9621277825961253E-3</v>
      </c>
      <c r="V18" s="84">
        <f t="shared" si="8"/>
        <v>-3.4692107545533646E-3</v>
      </c>
      <c r="W18" s="39">
        <f t="shared" si="9"/>
        <v>5.1170858629661642E-2</v>
      </c>
    </row>
    <row r="19" spans="1:23" ht="14.4" customHeight="1" x14ac:dyDescent="0.4">
      <c r="A19" s="4" t="s">
        <v>26</v>
      </c>
      <c r="B19" s="4" t="s">
        <v>15</v>
      </c>
      <c r="C19" s="5">
        <v>1092</v>
      </c>
      <c r="D19" s="6">
        <v>0</v>
      </c>
      <c r="E19" s="5">
        <v>1092</v>
      </c>
      <c r="F19" s="6">
        <v>26</v>
      </c>
      <c r="G19" s="5">
        <v>1066</v>
      </c>
      <c r="H19" s="6">
        <v>575</v>
      </c>
      <c r="I19" s="6">
        <v>432</v>
      </c>
      <c r="J19" s="6">
        <v>29</v>
      </c>
      <c r="K19" s="6">
        <v>16</v>
      </c>
      <c r="L19" s="6">
        <v>7</v>
      </c>
      <c r="M19" s="6">
        <v>7</v>
      </c>
      <c r="N19" s="85">
        <f t="shared" si="0"/>
        <v>143</v>
      </c>
      <c r="O19" s="5">
        <f t="shared" si="1"/>
        <v>202</v>
      </c>
      <c r="P19" s="33">
        <f t="shared" si="2"/>
        <v>0.53939962476547842</v>
      </c>
      <c r="Q19" s="33">
        <f t="shared" si="3"/>
        <v>0.40525328330206378</v>
      </c>
      <c r="R19" s="33">
        <f t="shared" si="4"/>
        <v>2.7204502814258912E-2</v>
      </c>
      <c r="S19" s="33">
        <f t="shared" si="5"/>
        <v>1.50093808630394E-2</v>
      </c>
      <c r="T19" s="33">
        <f t="shared" si="6"/>
        <v>6.5666041275797378E-3</v>
      </c>
      <c r="U19" s="33">
        <f t="shared" si="7"/>
        <v>6.5666041275797378E-3</v>
      </c>
      <c r="V19" s="87">
        <f t="shared" si="8"/>
        <v>0.13414634146341464</v>
      </c>
      <c r="W19" s="33">
        <f t="shared" si="9"/>
        <v>0.18949343339587232</v>
      </c>
    </row>
    <row r="20" spans="1:23" ht="14.4" customHeight="1" x14ac:dyDescent="0.4">
      <c r="A20" s="4" t="s">
        <v>26</v>
      </c>
      <c r="B20" s="4" t="s">
        <v>16</v>
      </c>
      <c r="C20" s="5">
        <v>5165</v>
      </c>
      <c r="D20" s="5">
        <v>2684</v>
      </c>
      <c r="E20" s="5">
        <v>2481</v>
      </c>
      <c r="F20" s="6">
        <v>88</v>
      </c>
      <c r="G20" s="5">
        <v>2393</v>
      </c>
      <c r="H20" s="5">
        <v>1054</v>
      </c>
      <c r="I20" s="5">
        <v>1209</v>
      </c>
      <c r="J20" s="6">
        <v>55</v>
      </c>
      <c r="K20" s="6">
        <v>37</v>
      </c>
      <c r="L20" s="6">
        <v>14</v>
      </c>
      <c r="M20" s="6">
        <v>24</v>
      </c>
      <c r="N20" s="85">
        <f t="shared" si="0"/>
        <v>-155</v>
      </c>
      <c r="O20" s="5">
        <f t="shared" si="1"/>
        <v>-25</v>
      </c>
      <c r="P20" s="33">
        <f t="shared" si="2"/>
        <v>0.44045131633932305</v>
      </c>
      <c r="Q20" s="33">
        <f t="shared" si="3"/>
        <v>0.50522356874216467</v>
      </c>
      <c r="R20" s="33">
        <f t="shared" si="4"/>
        <v>2.2983702465524447E-2</v>
      </c>
      <c r="S20" s="33">
        <f t="shared" si="5"/>
        <v>1.5461763476807356E-2</v>
      </c>
      <c r="T20" s="33">
        <f t="shared" si="6"/>
        <v>5.8503969912244045E-3</v>
      </c>
      <c r="U20" s="33">
        <f t="shared" si="7"/>
        <v>1.0029251984956121E-2</v>
      </c>
      <c r="V20" s="87">
        <f t="shared" si="8"/>
        <v>-6.4772252402841624E-2</v>
      </c>
      <c r="W20" s="33">
        <f t="shared" si="9"/>
        <v>-1.0447137484329294E-2</v>
      </c>
    </row>
    <row r="21" spans="1:23" s="29" customFormat="1" ht="14.4" customHeight="1" x14ac:dyDescent="0.4">
      <c r="A21" s="7" t="s">
        <v>27</v>
      </c>
      <c r="B21" s="7" t="s">
        <v>11</v>
      </c>
      <c r="C21" s="5">
        <v>12092</v>
      </c>
      <c r="D21" s="5">
        <v>5525</v>
      </c>
      <c r="E21" s="5">
        <v>6567</v>
      </c>
      <c r="F21" s="6">
        <v>105</v>
      </c>
      <c r="G21" s="8">
        <v>6462</v>
      </c>
      <c r="H21" s="9">
        <v>3832</v>
      </c>
      <c r="I21" s="8">
        <v>2214</v>
      </c>
      <c r="J21" s="10">
        <v>214</v>
      </c>
      <c r="K21" s="10">
        <v>65</v>
      </c>
      <c r="L21" s="10">
        <v>64</v>
      </c>
      <c r="M21" s="10">
        <v>73</v>
      </c>
      <c r="N21" s="81">
        <f t="shared" si="0"/>
        <v>1618</v>
      </c>
      <c r="O21" s="24">
        <f t="shared" si="1"/>
        <v>2034</v>
      </c>
      <c r="P21" s="35">
        <f t="shared" si="2"/>
        <v>0.5930052615289384</v>
      </c>
      <c r="Q21" s="32">
        <f t="shared" si="3"/>
        <v>0.3426183844011142</v>
      </c>
      <c r="R21" s="32">
        <f t="shared" si="4"/>
        <v>3.3116682141751778E-2</v>
      </c>
      <c r="S21" s="32">
        <f t="shared" si="5"/>
        <v>1.0058805323429279E-2</v>
      </c>
      <c r="T21" s="32">
        <f t="shared" si="6"/>
        <v>9.9040544722995977E-3</v>
      </c>
      <c r="U21" s="32">
        <f t="shared" si="7"/>
        <v>1.1296812132466728E-2</v>
      </c>
      <c r="V21" s="82">
        <f t="shared" si="8"/>
        <v>0.2503868771278242</v>
      </c>
      <c r="W21" s="39">
        <f t="shared" si="9"/>
        <v>0.31476323119777155</v>
      </c>
    </row>
    <row r="22" spans="1:23" ht="14.4" customHeight="1" x14ac:dyDescent="0.4">
      <c r="A22" s="4" t="s">
        <v>27</v>
      </c>
      <c r="B22" s="4" t="s">
        <v>15</v>
      </c>
      <c r="C22" s="5">
        <v>2354</v>
      </c>
      <c r="D22" s="6">
        <v>0</v>
      </c>
      <c r="E22" s="5">
        <v>2354</v>
      </c>
      <c r="F22" s="6">
        <v>31</v>
      </c>
      <c r="G22" s="5">
        <v>2323</v>
      </c>
      <c r="H22" s="5">
        <v>1669</v>
      </c>
      <c r="I22" s="6">
        <v>489</v>
      </c>
      <c r="J22" s="6">
        <v>95</v>
      </c>
      <c r="K22" s="6">
        <v>25</v>
      </c>
      <c r="L22" s="6">
        <v>31</v>
      </c>
      <c r="M22" s="6">
        <v>14</v>
      </c>
      <c r="N22" s="85">
        <f t="shared" si="0"/>
        <v>1180</v>
      </c>
      <c r="O22" s="5">
        <f t="shared" si="1"/>
        <v>1345</v>
      </c>
      <c r="P22" s="33">
        <f t="shared" si="2"/>
        <v>0.71846749892380546</v>
      </c>
      <c r="Q22" s="33">
        <f t="shared" si="3"/>
        <v>0.21050365906155832</v>
      </c>
      <c r="R22" s="33">
        <f t="shared" si="4"/>
        <v>4.0895393887214811E-2</v>
      </c>
      <c r="S22" s="33">
        <f t="shared" si="5"/>
        <v>1.0761945759793371E-2</v>
      </c>
      <c r="T22" s="33">
        <f t="shared" si="6"/>
        <v>1.334481274214378E-2</v>
      </c>
      <c r="U22" s="33">
        <f t="shared" si="7"/>
        <v>6.0266896254842876E-3</v>
      </c>
      <c r="V22" s="87">
        <f t="shared" si="8"/>
        <v>0.50796383986224714</v>
      </c>
      <c r="W22" s="33">
        <f t="shared" si="9"/>
        <v>0.57899268187688346</v>
      </c>
    </row>
    <row r="23" spans="1:23" ht="14.4" customHeight="1" x14ac:dyDescent="0.4">
      <c r="A23" s="4" t="s">
        <v>27</v>
      </c>
      <c r="B23" s="4" t="s">
        <v>16</v>
      </c>
      <c r="C23" s="5">
        <v>9738</v>
      </c>
      <c r="D23" s="5">
        <v>5525</v>
      </c>
      <c r="E23" s="5">
        <v>4213</v>
      </c>
      <c r="F23" s="6">
        <v>74</v>
      </c>
      <c r="G23" s="5">
        <v>4139</v>
      </c>
      <c r="H23" s="5">
        <v>2163</v>
      </c>
      <c r="I23" s="5">
        <v>1725</v>
      </c>
      <c r="J23" s="6">
        <v>119</v>
      </c>
      <c r="K23" s="6">
        <v>40</v>
      </c>
      <c r="L23" s="6">
        <v>33</v>
      </c>
      <c r="M23" s="6">
        <v>59</v>
      </c>
      <c r="N23" s="85">
        <f t="shared" si="0"/>
        <v>438</v>
      </c>
      <c r="O23" s="5">
        <f t="shared" si="1"/>
        <v>689</v>
      </c>
      <c r="P23" s="33">
        <f t="shared" si="2"/>
        <v>0.52258999758395752</v>
      </c>
      <c r="Q23" s="33">
        <f t="shared" si="3"/>
        <v>0.41676733510509784</v>
      </c>
      <c r="R23" s="33">
        <f t="shared" si="4"/>
        <v>2.875090601594588E-2</v>
      </c>
      <c r="S23" s="33">
        <f t="shared" si="5"/>
        <v>9.6641700893935738E-3</v>
      </c>
      <c r="T23" s="33">
        <f t="shared" si="6"/>
        <v>7.9729403237496985E-3</v>
      </c>
      <c r="U23" s="33">
        <f t="shared" si="7"/>
        <v>1.425465088185552E-2</v>
      </c>
      <c r="V23" s="87">
        <f t="shared" si="8"/>
        <v>0.10582266247885969</v>
      </c>
      <c r="W23" s="33">
        <f t="shared" si="9"/>
        <v>0.16646532978980438</v>
      </c>
    </row>
    <row r="24" spans="1:23" s="29" customFormat="1" ht="14.4" customHeight="1" x14ac:dyDescent="0.4">
      <c r="A24" s="7" t="s">
        <v>28</v>
      </c>
      <c r="B24" s="7" t="s">
        <v>11</v>
      </c>
      <c r="C24" s="5">
        <v>7569</v>
      </c>
      <c r="D24" s="5">
        <v>3279</v>
      </c>
      <c r="E24" s="5">
        <v>4290</v>
      </c>
      <c r="F24" s="6">
        <v>137</v>
      </c>
      <c r="G24" s="8">
        <v>4153</v>
      </c>
      <c r="H24" s="8">
        <v>1774</v>
      </c>
      <c r="I24" s="12">
        <v>2160</v>
      </c>
      <c r="J24" s="10">
        <v>105</v>
      </c>
      <c r="K24" s="10">
        <v>45</v>
      </c>
      <c r="L24" s="10">
        <v>32</v>
      </c>
      <c r="M24" s="10">
        <v>37</v>
      </c>
      <c r="N24" s="83">
        <f t="shared" si="0"/>
        <v>-386</v>
      </c>
      <c r="O24" s="26">
        <f t="shared" si="1"/>
        <v>-167</v>
      </c>
      <c r="P24" s="32">
        <f t="shared" si="2"/>
        <v>0.42716108836985311</v>
      </c>
      <c r="Q24" s="37">
        <f t="shared" si="3"/>
        <v>0.52010594750782568</v>
      </c>
      <c r="R24" s="32">
        <f t="shared" si="4"/>
        <v>2.5282928003852637E-2</v>
      </c>
      <c r="S24" s="32">
        <f t="shared" si="5"/>
        <v>1.0835540573079701E-2</v>
      </c>
      <c r="T24" s="32">
        <f t="shared" si="6"/>
        <v>7.7052732964122319E-3</v>
      </c>
      <c r="U24" s="32">
        <f t="shared" si="7"/>
        <v>8.9092222489766427E-3</v>
      </c>
      <c r="V24" s="84">
        <f t="shared" si="8"/>
        <v>-9.2944859137972569E-2</v>
      </c>
      <c r="W24" s="41">
        <f t="shared" si="9"/>
        <v>-4.0211895015651311E-2</v>
      </c>
    </row>
    <row r="25" spans="1:23" ht="14.4" customHeight="1" x14ac:dyDescent="0.4">
      <c r="A25" s="4" t="s">
        <v>28</v>
      </c>
      <c r="B25" s="4" t="s">
        <v>15</v>
      </c>
      <c r="C25" s="5">
        <v>1117</v>
      </c>
      <c r="D25" s="6">
        <v>0</v>
      </c>
      <c r="E25" s="5">
        <v>1117</v>
      </c>
      <c r="F25" s="6">
        <v>44</v>
      </c>
      <c r="G25" s="5">
        <v>1073</v>
      </c>
      <c r="H25" s="6">
        <v>610</v>
      </c>
      <c r="I25" s="6">
        <v>407</v>
      </c>
      <c r="J25" s="6">
        <v>29</v>
      </c>
      <c r="K25" s="6">
        <v>11</v>
      </c>
      <c r="L25" s="6">
        <v>7</v>
      </c>
      <c r="M25" s="6">
        <v>9</v>
      </c>
      <c r="N25" s="85">
        <f t="shared" si="0"/>
        <v>203</v>
      </c>
      <c r="O25" s="5">
        <f t="shared" si="1"/>
        <v>259</v>
      </c>
      <c r="P25" s="33">
        <f t="shared" si="2"/>
        <v>0.56849953401677544</v>
      </c>
      <c r="Q25" s="33">
        <f t="shared" si="3"/>
        <v>0.37931034482758619</v>
      </c>
      <c r="R25" s="33">
        <f t="shared" si="4"/>
        <v>2.7027027027027029E-2</v>
      </c>
      <c r="S25" s="33">
        <f t="shared" si="5"/>
        <v>1.0251630941286114E-2</v>
      </c>
      <c r="T25" s="33">
        <f t="shared" si="6"/>
        <v>6.5237651444547996E-3</v>
      </c>
      <c r="U25" s="33">
        <f t="shared" si="7"/>
        <v>8.3876980428704562E-3</v>
      </c>
      <c r="V25" s="87">
        <f t="shared" si="8"/>
        <v>0.18918918918918926</v>
      </c>
      <c r="W25" s="33">
        <f t="shared" si="9"/>
        <v>0.24137931034482774</v>
      </c>
    </row>
    <row r="26" spans="1:23" ht="14.4" customHeight="1" x14ac:dyDescent="0.4">
      <c r="A26" s="4" t="s">
        <v>28</v>
      </c>
      <c r="B26" s="4" t="s">
        <v>16</v>
      </c>
      <c r="C26" s="5">
        <v>6452</v>
      </c>
      <c r="D26" s="5">
        <v>3279</v>
      </c>
      <c r="E26" s="5">
        <v>3173</v>
      </c>
      <c r="F26" s="6">
        <v>93</v>
      </c>
      <c r="G26" s="5">
        <v>3080</v>
      </c>
      <c r="H26" s="5">
        <v>1164</v>
      </c>
      <c r="I26" s="5">
        <v>1753</v>
      </c>
      <c r="J26" s="6">
        <v>76</v>
      </c>
      <c r="K26" s="6">
        <v>34</v>
      </c>
      <c r="L26" s="6">
        <v>25</v>
      </c>
      <c r="M26" s="6">
        <v>28</v>
      </c>
      <c r="N26" s="85">
        <f t="shared" si="0"/>
        <v>-589</v>
      </c>
      <c r="O26" s="5">
        <f t="shared" si="1"/>
        <v>-426</v>
      </c>
      <c r="P26" s="33">
        <f t="shared" si="2"/>
        <v>0.37792207792207794</v>
      </c>
      <c r="Q26" s="33">
        <f t="shared" si="3"/>
        <v>0.56915584415584419</v>
      </c>
      <c r="R26" s="33">
        <f t="shared" si="4"/>
        <v>2.4675324675324677E-2</v>
      </c>
      <c r="S26" s="33">
        <f t="shared" si="5"/>
        <v>1.1038961038961039E-2</v>
      </c>
      <c r="T26" s="33">
        <f t="shared" si="6"/>
        <v>8.1168831168831161E-3</v>
      </c>
      <c r="U26" s="33">
        <f t="shared" si="7"/>
        <v>9.0909090909090905E-3</v>
      </c>
      <c r="V26" s="87">
        <f t="shared" si="8"/>
        <v>-0.19123376623376626</v>
      </c>
      <c r="W26" s="33">
        <f t="shared" si="9"/>
        <v>-0.13831168831168833</v>
      </c>
    </row>
    <row r="27" spans="1:23" s="29" customFormat="1" ht="14.4" customHeight="1" x14ac:dyDescent="0.4">
      <c r="A27" s="7" t="s">
        <v>29</v>
      </c>
      <c r="B27" s="7" t="s">
        <v>11</v>
      </c>
      <c r="C27" s="5">
        <v>4342</v>
      </c>
      <c r="D27" s="5">
        <v>1587</v>
      </c>
      <c r="E27" s="5">
        <v>2755</v>
      </c>
      <c r="F27" s="6">
        <v>79</v>
      </c>
      <c r="G27" s="8">
        <v>2676</v>
      </c>
      <c r="H27" s="8">
        <v>1015</v>
      </c>
      <c r="I27" s="12">
        <v>1563</v>
      </c>
      <c r="J27" s="10">
        <v>49</v>
      </c>
      <c r="K27" s="10">
        <v>22</v>
      </c>
      <c r="L27" s="10">
        <v>16</v>
      </c>
      <c r="M27" s="10">
        <v>11</v>
      </c>
      <c r="N27" s="83">
        <f t="shared" si="0"/>
        <v>-548</v>
      </c>
      <c r="O27" s="26">
        <f t="shared" si="1"/>
        <v>-450</v>
      </c>
      <c r="P27" s="32">
        <f t="shared" si="2"/>
        <v>0.37929745889387145</v>
      </c>
      <c r="Q27" s="37">
        <f t="shared" si="3"/>
        <v>0.5840807174887892</v>
      </c>
      <c r="R27" s="32">
        <f t="shared" si="4"/>
        <v>1.8310911808669655E-2</v>
      </c>
      <c r="S27" s="32">
        <f t="shared" si="5"/>
        <v>8.2212257100149483E-3</v>
      </c>
      <c r="T27" s="32">
        <f t="shared" si="6"/>
        <v>5.9790732436472349E-3</v>
      </c>
      <c r="U27" s="32">
        <f t="shared" si="7"/>
        <v>4.1106128550074741E-3</v>
      </c>
      <c r="V27" s="84">
        <f t="shared" si="8"/>
        <v>-0.20478325859491775</v>
      </c>
      <c r="W27" s="41">
        <f t="shared" si="9"/>
        <v>-0.16816143497757846</v>
      </c>
    </row>
    <row r="28" spans="1:23" ht="14.4" customHeight="1" x14ac:dyDescent="0.4">
      <c r="A28" s="4" t="s">
        <v>29</v>
      </c>
      <c r="B28" s="4" t="s">
        <v>15</v>
      </c>
      <c r="C28" s="6">
        <v>934</v>
      </c>
      <c r="D28" s="6">
        <v>0</v>
      </c>
      <c r="E28" s="6">
        <v>934</v>
      </c>
      <c r="F28" s="6">
        <v>27</v>
      </c>
      <c r="G28" s="6">
        <v>907</v>
      </c>
      <c r="H28" s="6">
        <v>473</v>
      </c>
      <c r="I28" s="6">
        <v>390</v>
      </c>
      <c r="J28" s="6">
        <v>25</v>
      </c>
      <c r="K28" s="6">
        <v>9</v>
      </c>
      <c r="L28" s="6">
        <v>5</v>
      </c>
      <c r="M28" s="6">
        <v>5</v>
      </c>
      <c r="N28" s="85">
        <f t="shared" si="0"/>
        <v>83</v>
      </c>
      <c r="O28" s="5">
        <f t="shared" si="1"/>
        <v>127</v>
      </c>
      <c r="P28" s="33">
        <f t="shared" si="2"/>
        <v>0.52149944873208376</v>
      </c>
      <c r="Q28" s="33">
        <f t="shared" si="3"/>
        <v>0.42998897464167585</v>
      </c>
      <c r="R28" s="33">
        <f t="shared" si="4"/>
        <v>2.7563395810363836E-2</v>
      </c>
      <c r="S28" s="33">
        <f t="shared" si="5"/>
        <v>9.9228224917309819E-3</v>
      </c>
      <c r="T28" s="33">
        <f t="shared" si="6"/>
        <v>5.512679162072767E-3</v>
      </c>
      <c r="U28" s="33">
        <f t="shared" si="7"/>
        <v>5.512679162072767E-3</v>
      </c>
      <c r="V28" s="87">
        <f t="shared" si="8"/>
        <v>9.1510474090407912E-2</v>
      </c>
      <c r="W28" s="33">
        <f t="shared" si="9"/>
        <v>0.14002205071664819</v>
      </c>
    </row>
    <row r="29" spans="1:23" ht="14.4" customHeight="1" x14ac:dyDescent="0.4">
      <c r="A29" s="4" t="s">
        <v>29</v>
      </c>
      <c r="B29" s="4" t="s">
        <v>16</v>
      </c>
      <c r="C29" s="5">
        <v>3408</v>
      </c>
      <c r="D29" s="5">
        <v>1587</v>
      </c>
      <c r="E29" s="5">
        <v>1821</v>
      </c>
      <c r="F29" s="6">
        <v>52</v>
      </c>
      <c r="G29" s="5">
        <v>1769</v>
      </c>
      <c r="H29" s="6">
        <v>542</v>
      </c>
      <c r="I29" s="5">
        <v>1173</v>
      </c>
      <c r="J29" s="6">
        <v>24</v>
      </c>
      <c r="K29" s="6">
        <v>13</v>
      </c>
      <c r="L29" s="6">
        <v>11</v>
      </c>
      <c r="M29" s="6">
        <v>6</v>
      </c>
      <c r="N29" s="85">
        <f t="shared" si="0"/>
        <v>-631</v>
      </c>
      <c r="O29" s="5">
        <f t="shared" si="1"/>
        <v>-577</v>
      </c>
      <c r="P29" s="33">
        <f t="shared" si="2"/>
        <v>0.30638778971170155</v>
      </c>
      <c r="Q29" s="33">
        <f t="shared" si="3"/>
        <v>0.66308648954211424</v>
      </c>
      <c r="R29" s="33">
        <f t="shared" si="4"/>
        <v>1.3566986998304126E-2</v>
      </c>
      <c r="S29" s="33">
        <f t="shared" si="5"/>
        <v>7.3487846240814017E-3</v>
      </c>
      <c r="T29" s="33">
        <f t="shared" si="6"/>
        <v>6.2182023742227248E-3</v>
      </c>
      <c r="U29" s="33">
        <f t="shared" si="7"/>
        <v>3.3917467495760316E-3</v>
      </c>
      <c r="V29" s="87">
        <f t="shared" si="8"/>
        <v>-0.35669869983041269</v>
      </c>
      <c r="W29" s="33">
        <f t="shared" si="9"/>
        <v>-0.32617297908422843</v>
      </c>
    </row>
    <row r="30" spans="1:23" s="29" customFormat="1" ht="14.4" customHeight="1" x14ac:dyDescent="0.4">
      <c r="A30" s="7" t="s">
        <v>30</v>
      </c>
      <c r="B30" s="7" t="s">
        <v>11</v>
      </c>
      <c r="C30" s="5">
        <v>6526</v>
      </c>
      <c r="D30" s="5">
        <v>2704</v>
      </c>
      <c r="E30" s="5">
        <v>3822</v>
      </c>
      <c r="F30" s="6">
        <v>109</v>
      </c>
      <c r="G30" s="8">
        <v>3713</v>
      </c>
      <c r="H30" s="8">
        <v>1375</v>
      </c>
      <c r="I30" s="12">
        <v>2159</v>
      </c>
      <c r="J30" s="10">
        <v>89</v>
      </c>
      <c r="K30" s="10">
        <v>11</v>
      </c>
      <c r="L30" s="10">
        <v>32</v>
      </c>
      <c r="M30" s="10">
        <v>47</v>
      </c>
      <c r="N30" s="83">
        <f t="shared" si="0"/>
        <v>-784</v>
      </c>
      <c r="O30" s="26">
        <f t="shared" si="1"/>
        <v>-605</v>
      </c>
      <c r="P30" s="32">
        <f t="shared" si="2"/>
        <v>0.37032049555615404</v>
      </c>
      <c r="Q30" s="37">
        <f t="shared" si="3"/>
        <v>0.58147050902235387</v>
      </c>
      <c r="R30" s="32">
        <f t="shared" si="4"/>
        <v>2.396983571236197E-2</v>
      </c>
      <c r="S30" s="32">
        <f t="shared" si="5"/>
        <v>2.9625639644492324E-3</v>
      </c>
      <c r="T30" s="32">
        <f t="shared" si="6"/>
        <v>8.6183678965795849E-3</v>
      </c>
      <c r="U30" s="32">
        <f t="shared" si="7"/>
        <v>1.2658227848101266E-2</v>
      </c>
      <c r="V30" s="84">
        <f t="shared" si="8"/>
        <v>-0.21115001346619983</v>
      </c>
      <c r="W30" s="41">
        <f t="shared" si="9"/>
        <v>-0.16294101804470779</v>
      </c>
    </row>
    <row r="31" spans="1:23" ht="14.4" customHeight="1" x14ac:dyDescent="0.4">
      <c r="A31" s="4" t="s">
        <v>30</v>
      </c>
      <c r="B31" s="4" t="s">
        <v>15</v>
      </c>
      <c r="C31" s="5">
        <v>1509</v>
      </c>
      <c r="D31" s="6">
        <v>0</v>
      </c>
      <c r="E31" s="5">
        <v>1509</v>
      </c>
      <c r="F31" s="6">
        <v>34</v>
      </c>
      <c r="G31" s="5">
        <v>1475</v>
      </c>
      <c r="H31" s="6">
        <v>735</v>
      </c>
      <c r="I31" s="6">
        <v>640</v>
      </c>
      <c r="J31" s="6">
        <v>61</v>
      </c>
      <c r="K31" s="6">
        <v>3</v>
      </c>
      <c r="L31" s="6">
        <v>14</v>
      </c>
      <c r="M31" s="6">
        <v>22</v>
      </c>
      <c r="N31" s="85">
        <f t="shared" si="0"/>
        <v>95</v>
      </c>
      <c r="O31" s="5">
        <f t="shared" si="1"/>
        <v>195</v>
      </c>
      <c r="P31" s="33">
        <f t="shared" si="2"/>
        <v>0.49830508474576274</v>
      </c>
      <c r="Q31" s="33">
        <f t="shared" si="3"/>
        <v>0.43389830508474575</v>
      </c>
      <c r="R31" s="33">
        <f t="shared" si="4"/>
        <v>4.1355932203389831E-2</v>
      </c>
      <c r="S31" s="33">
        <f t="shared" si="5"/>
        <v>2.0338983050847458E-3</v>
      </c>
      <c r="T31" s="33">
        <f t="shared" si="6"/>
        <v>9.4915254237288131E-3</v>
      </c>
      <c r="U31" s="33">
        <f t="shared" si="7"/>
        <v>1.4915254237288136E-2</v>
      </c>
      <c r="V31" s="87">
        <f t="shared" si="8"/>
        <v>6.4406779661016988E-2</v>
      </c>
      <c r="W31" s="33">
        <f t="shared" si="9"/>
        <v>0.13220338983050844</v>
      </c>
    </row>
    <row r="32" spans="1:23" ht="14.4" customHeight="1" x14ac:dyDescent="0.4">
      <c r="A32" s="4" t="s">
        <v>30</v>
      </c>
      <c r="B32" s="4" t="s">
        <v>16</v>
      </c>
      <c r="C32" s="5">
        <v>5017</v>
      </c>
      <c r="D32" s="5">
        <v>2704</v>
      </c>
      <c r="E32" s="5">
        <v>2313</v>
      </c>
      <c r="F32" s="6">
        <v>75</v>
      </c>
      <c r="G32" s="5">
        <v>2238</v>
      </c>
      <c r="H32" s="6">
        <v>640</v>
      </c>
      <c r="I32" s="5">
        <v>1519</v>
      </c>
      <c r="J32" s="6">
        <v>28</v>
      </c>
      <c r="K32" s="6">
        <v>8</v>
      </c>
      <c r="L32" s="6">
        <v>18</v>
      </c>
      <c r="M32" s="6">
        <v>25</v>
      </c>
      <c r="N32" s="85">
        <f t="shared" si="0"/>
        <v>-879</v>
      </c>
      <c r="O32" s="5">
        <f t="shared" si="1"/>
        <v>-800</v>
      </c>
      <c r="P32" s="33">
        <f t="shared" si="2"/>
        <v>0.28596961572832885</v>
      </c>
      <c r="Q32" s="33">
        <f t="shared" si="3"/>
        <v>0.67873100983020551</v>
      </c>
      <c r="R32" s="33">
        <f t="shared" si="4"/>
        <v>1.2511170688114389E-2</v>
      </c>
      <c r="S32" s="33">
        <f t="shared" si="5"/>
        <v>3.5746201966041107E-3</v>
      </c>
      <c r="T32" s="33">
        <f t="shared" si="6"/>
        <v>8.0428954423592495E-3</v>
      </c>
      <c r="U32" s="33">
        <f t="shared" si="7"/>
        <v>1.1170688114387846E-2</v>
      </c>
      <c r="V32" s="87">
        <f t="shared" si="8"/>
        <v>-0.39276139410187666</v>
      </c>
      <c r="W32" s="33">
        <f t="shared" si="9"/>
        <v>-0.35746201966041102</v>
      </c>
    </row>
    <row r="33" spans="1:23" s="29" customFormat="1" ht="14.4" customHeight="1" x14ac:dyDescent="0.4">
      <c r="A33" s="7" t="s">
        <v>31</v>
      </c>
      <c r="B33" s="7" t="s">
        <v>11</v>
      </c>
      <c r="C33" s="5">
        <v>4488</v>
      </c>
      <c r="D33" s="5">
        <v>2090</v>
      </c>
      <c r="E33" s="5">
        <v>2398</v>
      </c>
      <c r="F33" s="6">
        <v>96</v>
      </c>
      <c r="G33" s="8">
        <v>2302</v>
      </c>
      <c r="H33" s="10">
        <v>958</v>
      </c>
      <c r="I33" s="12">
        <v>1226</v>
      </c>
      <c r="J33" s="10">
        <v>61</v>
      </c>
      <c r="K33" s="10">
        <v>22</v>
      </c>
      <c r="L33" s="10">
        <v>10</v>
      </c>
      <c r="M33" s="10">
        <v>25</v>
      </c>
      <c r="N33" s="83">
        <f t="shared" si="0"/>
        <v>-268</v>
      </c>
      <c r="O33" s="26">
        <f t="shared" si="1"/>
        <v>-150</v>
      </c>
      <c r="P33" s="32">
        <f t="shared" si="2"/>
        <v>0.41615986099044311</v>
      </c>
      <c r="Q33" s="37">
        <f t="shared" si="3"/>
        <v>0.53258036490008687</v>
      </c>
      <c r="R33" s="32">
        <f t="shared" si="4"/>
        <v>2.6498696785403997E-2</v>
      </c>
      <c r="S33" s="32">
        <f t="shared" si="5"/>
        <v>9.5569070373588191E-3</v>
      </c>
      <c r="T33" s="32">
        <f t="shared" si="6"/>
        <v>4.3440486533449178E-3</v>
      </c>
      <c r="U33" s="32">
        <f t="shared" si="7"/>
        <v>1.0860121633362294E-2</v>
      </c>
      <c r="V33" s="84">
        <f t="shared" si="8"/>
        <v>-0.11642050390964376</v>
      </c>
      <c r="W33" s="41">
        <f t="shared" si="9"/>
        <v>-6.5160729800173678E-2</v>
      </c>
    </row>
    <row r="34" spans="1:23" ht="14.4" customHeight="1" x14ac:dyDescent="0.4">
      <c r="A34" s="4" t="s">
        <v>31</v>
      </c>
      <c r="B34" s="4" t="s">
        <v>15</v>
      </c>
      <c r="C34" s="6">
        <v>611</v>
      </c>
      <c r="D34" s="6">
        <v>0</v>
      </c>
      <c r="E34" s="6">
        <v>611</v>
      </c>
      <c r="F34" s="6">
        <v>28</v>
      </c>
      <c r="G34" s="6">
        <v>583</v>
      </c>
      <c r="H34" s="6">
        <v>320</v>
      </c>
      <c r="I34" s="6">
        <v>235</v>
      </c>
      <c r="J34" s="6">
        <v>13</v>
      </c>
      <c r="K34" s="6">
        <v>4</v>
      </c>
      <c r="L34" s="6">
        <v>5</v>
      </c>
      <c r="M34" s="6">
        <v>6</v>
      </c>
      <c r="N34" s="85">
        <f t="shared" si="0"/>
        <v>85</v>
      </c>
      <c r="O34" s="5">
        <f t="shared" si="1"/>
        <v>113</v>
      </c>
      <c r="P34" s="33">
        <f t="shared" si="2"/>
        <v>0.548885077186964</v>
      </c>
      <c r="Q34" s="33">
        <f t="shared" si="3"/>
        <v>0.40308747855917665</v>
      </c>
      <c r="R34" s="33">
        <f t="shared" si="4"/>
        <v>2.2298456260720412E-2</v>
      </c>
      <c r="S34" s="33">
        <f t="shared" si="5"/>
        <v>6.8610634648370496E-3</v>
      </c>
      <c r="T34" s="33">
        <f t="shared" si="6"/>
        <v>8.5763293310463125E-3</v>
      </c>
      <c r="U34" s="33">
        <f t="shared" si="7"/>
        <v>1.0291595197255575E-2</v>
      </c>
      <c r="V34" s="87">
        <f t="shared" si="8"/>
        <v>0.14579759862778735</v>
      </c>
      <c r="W34" s="33">
        <f t="shared" si="9"/>
        <v>0.19382504288164676</v>
      </c>
    </row>
    <row r="35" spans="1:23" ht="14.4" customHeight="1" x14ac:dyDescent="0.4">
      <c r="A35" s="4" t="s">
        <v>31</v>
      </c>
      <c r="B35" s="4" t="s">
        <v>16</v>
      </c>
      <c r="C35" s="5">
        <v>3877</v>
      </c>
      <c r="D35" s="5">
        <v>2090</v>
      </c>
      <c r="E35" s="5">
        <v>1787</v>
      </c>
      <c r="F35" s="6">
        <v>68</v>
      </c>
      <c r="G35" s="5">
        <v>1719</v>
      </c>
      <c r="H35" s="6">
        <v>638</v>
      </c>
      <c r="I35" s="6">
        <v>991</v>
      </c>
      <c r="J35" s="6">
        <v>48</v>
      </c>
      <c r="K35" s="6">
        <v>18</v>
      </c>
      <c r="L35" s="6">
        <v>5</v>
      </c>
      <c r="M35" s="6">
        <v>19</v>
      </c>
      <c r="N35" s="85">
        <f t="shared" si="0"/>
        <v>-353</v>
      </c>
      <c r="O35" s="5">
        <f t="shared" si="1"/>
        <v>-263</v>
      </c>
      <c r="P35" s="33">
        <f t="shared" si="2"/>
        <v>0.37114601512507273</v>
      </c>
      <c r="Q35" s="33">
        <f t="shared" si="3"/>
        <v>0.57649796393251895</v>
      </c>
      <c r="R35" s="33">
        <f t="shared" si="4"/>
        <v>2.7923211169284468E-2</v>
      </c>
      <c r="S35" s="33">
        <f t="shared" si="5"/>
        <v>1.0471204188481676E-2</v>
      </c>
      <c r="T35" s="33">
        <f t="shared" si="6"/>
        <v>2.9086678301337987E-3</v>
      </c>
      <c r="U35" s="33">
        <f t="shared" si="7"/>
        <v>1.1052937754508435E-2</v>
      </c>
      <c r="V35" s="87">
        <f t="shared" si="8"/>
        <v>-0.20535194880744623</v>
      </c>
      <c r="W35" s="33">
        <f t="shared" si="9"/>
        <v>-0.1529959278650378</v>
      </c>
    </row>
    <row r="36" spans="1:23" s="29" customFormat="1" ht="14.4" customHeight="1" x14ac:dyDescent="0.4">
      <c r="A36" s="7" t="s">
        <v>32</v>
      </c>
      <c r="B36" s="7" t="s">
        <v>11</v>
      </c>
      <c r="C36" s="5">
        <v>14333</v>
      </c>
      <c r="D36" s="5">
        <v>6414</v>
      </c>
      <c r="E36" s="5">
        <v>7919</v>
      </c>
      <c r="F36" s="6">
        <v>146</v>
      </c>
      <c r="G36" s="8">
        <v>7773</v>
      </c>
      <c r="H36" s="9">
        <v>3698</v>
      </c>
      <c r="I36" s="8">
        <v>3622</v>
      </c>
      <c r="J36" s="10">
        <v>236</v>
      </c>
      <c r="K36" s="10">
        <v>71</v>
      </c>
      <c r="L36" s="10">
        <v>53</v>
      </c>
      <c r="M36" s="10">
        <v>93</v>
      </c>
      <c r="N36" s="81">
        <f t="shared" si="0"/>
        <v>76</v>
      </c>
      <c r="O36" s="24">
        <f t="shared" si="1"/>
        <v>529</v>
      </c>
      <c r="P36" s="35">
        <f t="shared" si="2"/>
        <v>0.47574938891033064</v>
      </c>
      <c r="Q36" s="32">
        <f t="shared" si="3"/>
        <v>0.46597195420043741</v>
      </c>
      <c r="R36" s="32">
        <f t="shared" si="4"/>
        <v>3.0361507783352632E-2</v>
      </c>
      <c r="S36" s="32">
        <f t="shared" si="5"/>
        <v>9.1341824263476128E-3</v>
      </c>
      <c r="T36" s="32">
        <f t="shared" si="6"/>
        <v>6.8184742055834302E-3</v>
      </c>
      <c r="U36" s="32">
        <f t="shared" si="7"/>
        <v>1.1964492473948282E-2</v>
      </c>
      <c r="V36" s="82">
        <f t="shared" si="8"/>
        <v>9.777434709893229E-3</v>
      </c>
      <c r="W36" s="39">
        <f t="shared" si="9"/>
        <v>6.8056091599125124E-2</v>
      </c>
    </row>
    <row r="37" spans="1:23" ht="14.4" customHeight="1" x14ac:dyDescent="0.4">
      <c r="A37" s="4" t="s">
        <v>32</v>
      </c>
      <c r="B37" s="4" t="s">
        <v>15</v>
      </c>
      <c r="C37" s="5">
        <v>2507</v>
      </c>
      <c r="D37" s="6">
        <v>0</v>
      </c>
      <c r="E37" s="5">
        <v>2507</v>
      </c>
      <c r="F37" s="6">
        <v>47</v>
      </c>
      <c r="G37" s="5">
        <v>2460</v>
      </c>
      <c r="H37" s="5">
        <v>1552</v>
      </c>
      <c r="I37" s="6">
        <v>733</v>
      </c>
      <c r="J37" s="6">
        <v>84</v>
      </c>
      <c r="K37" s="6">
        <v>31</v>
      </c>
      <c r="L37" s="6">
        <v>26</v>
      </c>
      <c r="M37" s="6">
        <v>34</v>
      </c>
      <c r="N37" s="85">
        <f t="shared" si="0"/>
        <v>819</v>
      </c>
      <c r="O37" s="5">
        <f t="shared" si="1"/>
        <v>994</v>
      </c>
      <c r="P37" s="33">
        <f t="shared" si="2"/>
        <v>0.6308943089430894</v>
      </c>
      <c r="Q37" s="33">
        <f t="shared" si="3"/>
        <v>0.29796747967479675</v>
      </c>
      <c r="R37" s="33">
        <f t="shared" si="4"/>
        <v>3.4146341463414637E-2</v>
      </c>
      <c r="S37" s="33">
        <f t="shared" si="5"/>
        <v>1.2601626016260163E-2</v>
      </c>
      <c r="T37" s="33">
        <f t="shared" si="6"/>
        <v>1.056910569105691E-2</v>
      </c>
      <c r="U37" s="33">
        <f t="shared" si="7"/>
        <v>1.3821138211382113E-2</v>
      </c>
      <c r="V37" s="87">
        <f t="shared" si="8"/>
        <v>0.33292682926829265</v>
      </c>
      <c r="W37" s="33">
        <f t="shared" si="9"/>
        <v>0.40406504065040649</v>
      </c>
    </row>
    <row r="38" spans="1:23" ht="14.4" customHeight="1" x14ac:dyDescent="0.4">
      <c r="A38" s="4" t="s">
        <v>32</v>
      </c>
      <c r="B38" s="4" t="s">
        <v>16</v>
      </c>
      <c r="C38" s="5">
        <v>11826</v>
      </c>
      <c r="D38" s="5">
        <v>6414</v>
      </c>
      <c r="E38" s="5">
        <v>5412</v>
      </c>
      <c r="F38" s="6">
        <v>99</v>
      </c>
      <c r="G38" s="5">
        <v>5313</v>
      </c>
      <c r="H38" s="5">
        <v>2146</v>
      </c>
      <c r="I38" s="5">
        <v>2889</v>
      </c>
      <c r="J38" s="6">
        <v>152</v>
      </c>
      <c r="K38" s="6">
        <v>40</v>
      </c>
      <c r="L38" s="6">
        <v>27</v>
      </c>
      <c r="M38" s="6">
        <v>59</v>
      </c>
      <c r="N38" s="85">
        <f t="shared" si="0"/>
        <v>-743</v>
      </c>
      <c r="O38" s="5">
        <f t="shared" si="1"/>
        <v>-465</v>
      </c>
      <c r="P38" s="33">
        <f t="shared" si="2"/>
        <v>0.40391492565405607</v>
      </c>
      <c r="Q38" s="33">
        <f t="shared" si="3"/>
        <v>0.54376058723884813</v>
      </c>
      <c r="R38" s="33">
        <f t="shared" si="4"/>
        <v>2.8609072087332956E-2</v>
      </c>
      <c r="S38" s="33">
        <f t="shared" si="5"/>
        <v>7.528703180877094E-3</v>
      </c>
      <c r="T38" s="33">
        <f t="shared" si="6"/>
        <v>5.0818746470920381E-3</v>
      </c>
      <c r="U38" s="33">
        <f t="shared" si="7"/>
        <v>1.1104837191793714E-2</v>
      </c>
      <c r="V38" s="87">
        <f t="shared" si="8"/>
        <v>-0.13984566158479206</v>
      </c>
      <c r="W38" s="33">
        <f t="shared" si="9"/>
        <v>-8.7521174477696251E-2</v>
      </c>
    </row>
    <row r="39" spans="1:23" s="29" customFormat="1" ht="14.4" customHeight="1" x14ac:dyDescent="0.4">
      <c r="A39" s="7" t="s">
        <v>33</v>
      </c>
      <c r="B39" s="7" t="s">
        <v>11</v>
      </c>
      <c r="C39" s="5">
        <v>13425</v>
      </c>
      <c r="D39" s="5">
        <v>5788</v>
      </c>
      <c r="E39" s="5">
        <v>7637</v>
      </c>
      <c r="F39" s="6">
        <v>109</v>
      </c>
      <c r="G39" s="8">
        <v>7528</v>
      </c>
      <c r="H39" s="8">
        <v>3468</v>
      </c>
      <c r="I39" s="12">
        <v>3642</v>
      </c>
      <c r="J39" s="10">
        <v>219</v>
      </c>
      <c r="K39" s="10">
        <v>51</v>
      </c>
      <c r="L39" s="10">
        <v>59</v>
      </c>
      <c r="M39" s="10">
        <v>89</v>
      </c>
      <c r="N39" s="83">
        <f t="shared" si="0"/>
        <v>-174</v>
      </c>
      <c r="O39" s="24">
        <f t="shared" si="1"/>
        <v>244</v>
      </c>
      <c r="P39" s="32">
        <f t="shared" si="2"/>
        <v>0.46068012752391074</v>
      </c>
      <c r="Q39" s="37">
        <f t="shared" si="3"/>
        <v>0.48379383634431455</v>
      </c>
      <c r="R39" s="32">
        <f t="shared" si="4"/>
        <v>2.9091392136025504E-2</v>
      </c>
      <c r="S39" s="32">
        <f t="shared" si="5"/>
        <v>6.7747077577045697E-3</v>
      </c>
      <c r="T39" s="32">
        <f t="shared" si="6"/>
        <v>7.8374070138150908E-3</v>
      </c>
      <c r="U39" s="32">
        <f t="shared" si="7"/>
        <v>1.1822529224229543E-2</v>
      </c>
      <c r="V39" s="84">
        <f t="shared" si="8"/>
        <v>-2.3113708820403811E-2</v>
      </c>
      <c r="W39" s="39">
        <f t="shared" si="9"/>
        <v>3.2412327311370948E-2</v>
      </c>
    </row>
    <row r="40" spans="1:23" ht="14.4" customHeight="1" x14ac:dyDescent="0.4">
      <c r="A40" s="4" t="s">
        <v>33</v>
      </c>
      <c r="B40" s="4" t="s">
        <v>15</v>
      </c>
      <c r="C40" s="5">
        <v>2727</v>
      </c>
      <c r="D40" s="6">
        <v>1</v>
      </c>
      <c r="E40" s="5">
        <v>2726</v>
      </c>
      <c r="F40" s="6">
        <v>29</v>
      </c>
      <c r="G40" s="5">
        <v>2697</v>
      </c>
      <c r="H40" s="5">
        <v>1595</v>
      </c>
      <c r="I40" s="6">
        <v>905</v>
      </c>
      <c r="J40" s="6">
        <v>102</v>
      </c>
      <c r="K40" s="6">
        <v>21</v>
      </c>
      <c r="L40" s="6">
        <v>32</v>
      </c>
      <c r="M40" s="6">
        <v>42</v>
      </c>
      <c r="N40" s="85">
        <f t="shared" si="0"/>
        <v>690</v>
      </c>
      <c r="O40" s="5">
        <f t="shared" si="1"/>
        <v>887</v>
      </c>
      <c r="P40" s="33">
        <f t="shared" si="2"/>
        <v>0.59139784946236562</v>
      </c>
      <c r="Q40" s="33">
        <f t="shared" si="3"/>
        <v>0.33555802743789398</v>
      </c>
      <c r="R40" s="33">
        <f t="shared" si="4"/>
        <v>3.781979977753059E-2</v>
      </c>
      <c r="S40" s="33">
        <f t="shared" si="5"/>
        <v>7.7864293659621799E-3</v>
      </c>
      <c r="T40" s="33">
        <f t="shared" si="6"/>
        <v>1.1865035224323322E-2</v>
      </c>
      <c r="U40" s="33">
        <f t="shared" si="7"/>
        <v>1.557285873192436E-2</v>
      </c>
      <c r="V40" s="87">
        <f t="shared" si="8"/>
        <v>0.25583982202447164</v>
      </c>
      <c r="W40" s="33">
        <f t="shared" si="9"/>
        <v>0.32888394512421215</v>
      </c>
    </row>
    <row r="41" spans="1:23" ht="14.4" customHeight="1" x14ac:dyDescent="0.4">
      <c r="A41" s="4" t="s">
        <v>33</v>
      </c>
      <c r="B41" s="4" t="s">
        <v>16</v>
      </c>
      <c r="C41" s="5">
        <v>10698</v>
      </c>
      <c r="D41" s="5">
        <v>5787</v>
      </c>
      <c r="E41" s="5">
        <v>4911</v>
      </c>
      <c r="F41" s="6">
        <v>80</v>
      </c>
      <c r="G41" s="5">
        <v>4831</v>
      </c>
      <c r="H41" s="5">
        <v>1873</v>
      </c>
      <c r="I41" s="5">
        <v>2737</v>
      </c>
      <c r="J41" s="6">
        <v>117</v>
      </c>
      <c r="K41" s="6">
        <v>30</v>
      </c>
      <c r="L41" s="6">
        <v>27</v>
      </c>
      <c r="M41" s="6">
        <v>47</v>
      </c>
      <c r="N41" s="85">
        <f t="shared" si="0"/>
        <v>-864</v>
      </c>
      <c r="O41" s="5">
        <f t="shared" si="1"/>
        <v>-643</v>
      </c>
      <c r="P41" s="33">
        <f t="shared" si="2"/>
        <v>0.38770440902504655</v>
      </c>
      <c r="Q41" s="33">
        <f t="shared" si="3"/>
        <v>0.5665493686607328</v>
      </c>
      <c r="R41" s="33">
        <f t="shared" si="4"/>
        <v>2.4218588283999171E-2</v>
      </c>
      <c r="S41" s="33">
        <f t="shared" si="5"/>
        <v>6.2098944317946596E-3</v>
      </c>
      <c r="T41" s="33">
        <f t="shared" si="6"/>
        <v>5.5889049886151936E-3</v>
      </c>
      <c r="U41" s="33">
        <f t="shared" si="7"/>
        <v>9.7288346098116339E-3</v>
      </c>
      <c r="V41" s="87">
        <f t="shared" si="8"/>
        <v>-0.17884495963568625</v>
      </c>
      <c r="W41" s="33">
        <f t="shared" si="9"/>
        <v>-0.13309873732146565</v>
      </c>
    </row>
    <row r="42" spans="1:23" s="29" customFormat="1" ht="14.4" customHeight="1" x14ac:dyDescent="0.4">
      <c r="A42" s="7" t="s">
        <v>34</v>
      </c>
      <c r="B42" s="7" t="s">
        <v>11</v>
      </c>
      <c r="C42" s="5">
        <v>6768</v>
      </c>
      <c r="D42" s="5">
        <v>3070</v>
      </c>
      <c r="E42" s="5">
        <v>3698</v>
      </c>
      <c r="F42" s="6">
        <v>59</v>
      </c>
      <c r="G42" s="8">
        <v>3639</v>
      </c>
      <c r="H42" s="8">
        <v>1510</v>
      </c>
      <c r="I42" s="12">
        <v>1922</v>
      </c>
      <c r="J42" s="10">
        <v>111</v>
      </c>
      <c r="K42" s="10">
        <v>33</v>
      </c>
      <c r="L42" s="10">
        <v>32</v>
      </c>
      <c r="M42" s="10">
        <v>31</v>
      </c>
      <c r="N42" s="83">
        <f t="shared" si="0"/>
        <v>-412</v>
      </c>
      <c r="O42" s="26">
        <f t="shared" si="1"/>
        <v>-205</v>
      </c>
      <c r="P42" s="32">
        <f t="shared" si="2"/>
        <v>0.41494916185765318</v>
      </c>
      <c r="Q42" s="37">
        <f t="shared" si="3"/>
        <v>0.52816707886782088</v>
      </c>
      <c r="R42" s="32">
        <f t="shared" si="4"/>
        <v>3.0502885408079144E-2</v>
      </c>
      <c r="S42" s="32">
        <f t="shared" si="5"/>
        <v>9.0684253915910961E-3</v>
      </c>
      <c r="T42" s="32">
        <f t="shared" si="6"/>
        <v>8.7936246221489416E-3</v>
      </c>
      <c r="U42" s="32">
        <f t="shared" si="7"/>
        <v>8.5188238527067871E-3</v>
      </c>
      <c r="V42" s="84">
        <f t="shared" si="8"/>
        <v>-0.1132179170101677</v>
      </c>
      <c r="W42" s="41">
        <f t="shared" si="9"/>
        <v>-5.633415773564171E-2</v>
      </c>
    </row>
    <row r="43" spans="1:23" ht="14.4" customHeight="1" x14ac:dyDescent="0.4">
      <c r="A43" s="4" t="s">
        <v>34</v>
      </c>
      <c r="B43" s="4" t="s">
        <v>15</v>
      </c>
      <c r="C43" s="5">
        <v>1068</v>
      </c>
      <c r="D43" s="6">
        <v>0</v>
      </c>
      <c r="E43" s="5">
        <v>1068</v>
      </c>
      <c r="F43" s="6">
        <v>20</v>
      </c>
      <c r="G43" s="5">
        <v>1048</v>
      </c>
      <c r="H43" s="6">
        <v>601</v>
      </c>
      <c r="I43" s="6">
        <v>354</v>
      </c>
      <c r="J43" s="6">
        <v>57</v>
      </c>
      <c r="K43" s="6">
        <v>16</v>
      </c>
      <c r="L43" s="6">
        <v>10</v>
      </c>
      <c r="M43" s="6">
        <v>10</v>
      </c>
      <c r="N43" s="85">
        <f t="shared" si="0"/>
        <v>247</v>
      </c>
      <c r="O43" s="5">
        <f t="shared" si="1"/>
        <v>340</v>
      </c>
      <c r="P43" s="33">
        <f t="shared" si="2"/>
        <v>0.57347328244274809</v>
      </c>
      <c r="Q43" s="33">
        <f t="shared" si="3"/>
        <v>0.33778625954198471</v>
      </c>
      <c r="R43" s="33">
        <f t="shared" si="4"/>
        <v>5.4389312977099237E-2</v>
      </c>
      <c r="S43" s="33">
        <f t="shared" si="5"/>
        <v>1.5267175572519083E-2</v>
      </c>
      <c r="T43" s="33">
        <f t="shared" si="6"/>
        <v>9.5419847328244278E-3</v>
      </c>
      <c r="U43" s="33">
        <f t="shared" si="7"/>
        <v>9.5419847328244278E-3</v>
      </c>
      <c r="V43" s="87">
        <f t="shared" si="8"/>
        <v>0.23568702290076338</v>
      </c>
      <c r="W43" s="33">
        <f t="shared" si="9"/>
        <v>0.32442748091603058</v>
      </c>
    </row>
    <row r="44" spans="1:23" ht="14.4" customHeight="1" x14ac:dyDescent="0.4">
      <c r="A44" s="4" t="s">
        <v>34</v>
      </c>
      <c r="B44" s="4" t="s">
        <v>16</v>
      </c>
      <c r="C44" s="5">
        <v>5700</v>
      </c>
      <c r="D44" s="5">
        <v>3070</v>
      </c>
      <c r="E44" s="5">
        <v>2630</v>
      </c>
      <c r="F44" s="6">
        <v>39</v>
      </c>
      <c r="G44" s="5">
        <v>2591</v>
      </c>
      <c r="H44" s="6">
        <v>909</v>
      </c>
      <c r="I44" s="5">
        <v>1568</v>
      </c>
      <c r="J44" s="6">
        <v>54</v>
      </c>
      <c r="K44" s="6">
        <v>17</v>
      </c>
      <c r="L44" s="6">
        <v>22</v>
      </c>
      <c r="M44" s="6">
        <v>21</v>
      </c>
      <c r="N44" s="85">
        <f t="shared" si="0"/>
        <v>-659</v>
      </c>
      <c r="O44" s="5">
        <f t="shared" si="1"/>
        <v>-545</v>
      </c>
      <c r="P44" s="33">
        <f t="shared" si="2"/>
        <v>0.35082979544577381</v>
      </c>
      <c r="Q44" s="33">
        <f t="shared" si="3"/>
        <v>0.60517174835970666</v>
      </c>
      <c r="R44" s="33">
        <f t="shared" si="4"/>
        <v>2.0841373986877652E-2</v>
      </c>
      <c r="S44" s="33">
        <f t="shared" si="5"/>
        <v>6.561173292165187E-3</v>
      </c>
      <c r="T44" s="33">
        <f t="shared" si="6"/>
        <v>8.490930142802007E-3</v>
      </c>
      <c r="U44" s="33">
        <f t="shared" si="7"/>
        <v>8.1049787726746435E-3</v>
      </c>
      <c r="V44" s="87">
        <f t="shared" si="8"/>
        <v>-0.25434195291393286</v>
      </c>
      <c r="W44" s="33">
        <f t="shared" si="9"/>
        <v>-0.21034349671941338</v>
      </c>
    </row>
    <row r="45" spans="1:23" s="29" customFormat="1" ht="14.4" customHeight="1" x14ac:dyDescent="0.4">
      <c r="A45" s="7" t="s">
        <v>35</v>
      </c>
      <c r="B45" s="7" t="s">
        <v>11</v>
      </c>
      <c r="C45" s="5">
        <v>13312</v>
      </c>
      <c r="D45" s="5">
        <v>5756</v>
      </c>
      <c r="E45" s="5">
        <v>7556</v>
      </c>
      <c r="F45" s="6">
        <v>145</v>
      </c>
      <c r="G45" s="8">
        <v>7411</v>
      </c>
      <c r="H45" s="9">
        <v>3587</v>
      </c>
      <c r="I45" s="8">
        <v>3379</v>
      </c>
      <c r="J45" s="10">
        <v>238</v>
      </c>
      <c r="K45" s="10">
        <v>65</v>
      </c>
      <c r="L45" s="10">
        <v>52</v>
      </c>
      <c r="M45" s="10">
        <v>90</v>
      </c>
      <c r="N45" s="81">
        <f t="shared" si="0"/>
        <v>208</v>
      </c>
      <c r="O45" s="24">
        <f t="shared" si="1"/>
        <v>653</v>
      </c>
      <c r="P45" s="35">
        <f t="shared" si="2"/>
        <v>0.48401025502631223</v>
      </c>
      <c r="Q45" s="32">
        <f t="shared" si="3"/>
        <v>0.45594386722439617</v>
      </c>
      <c r="R45" s="32">
        <f t="shared" si="4"/>
        <v>3.2114424504115502E-2</v>
      </c>
      <c r="S45" s="32">
        <f t="shared" si="5"/>
        <v>8.7707461880987721E-3</v>
      </c>
      <c r="T45" s="32">
        <f t="shared" si="6"/>
        <v>7.0165969504790175E-3</v>
      </c>
      <c r="U45" s="32">
        <f t="shared" si="7"/>
        <v>1.2144110106598299E-2</v>
      </c>
      <c r="V45" s="82">
        <f t="shared" si="8"/>
        <v>2.806638780191606E-2</v>
      </c>
      <c r="W45" s="39">
        <f t="shared" si="9"/>
        <v>8.8112265551207769E-2</v>
      </c>
    </row>
    <row r="46" spans="1:23" ht="14.4" customHeight="1" x14ac:dyDescent="0.4">
      <c r="A46" s="4" t="s">
        <v>35</v>
      </c>
      <c r="B46" s="4" t="s">
        <v>15</v>
      </c>
      <c r="C46" s="5">
        <v>2686</v>
      </c>
      <c r="D46" s="6">
        <v>0</v>
      </c>
      <c r="E46" s="5">
        <v>2686</v>
      </c>
      <c r="F46" s="6">
        <v>40</v>
      </c>
      <c r="G46" s="5">
        <v>2646</v>
      </c>
      <c r="H46" s="5">
        <v>1638</v>
      </c>
      <c r="I46" s="6">
        <v>835</v>
      </c>
      <c r="J46" s="6">
        <v>93</v>
      </c>
      <c r="K46" s="6">
        <v>28</v>
      </c>
      <c r="L46" s="6">
        <v>22</v>
      </c>
      <c r="M46" s="6">
        <v>30</v>
      </c>
      <c r="N46" s="85">
        <f t="shared" si="0"/>
        <v>803</v>
      </c>
      <c r="O46" s="5">
        <f t="shared" si="1"/>
        <v>976</v>
      </c>
      <c r="P46" s="33">
        <f t="shared" si="2"/>
        <v>0.61904761904761907</v>
      </c>
      <c r="Q46" s="33">
        <f t="shared" si="3"/>
        <v>0.31557067271352984</v>
      </c>
      <c r="R46" s="33">
        <f t="shared" si="4"/>
        <v>3.5147392290249435E-2</v>
      </c>
      <c r="S46" s="33">
        <f t="shared" si="5"/>
        <v>1.0582010582010581E-2</v>
      </c>
      <c r="T46" s="33">
        <f t="shared" si="6"/>
        <v>8.3144368858654571E-3</v>
      </c>
      <c r="U46" s="33">
        <f t="shared" si="7"/>
        <v>1.1337868480725623E-2</v>
      </c>
      <c r="V46" s="87">
        <f t="shared" si="8"/>
        <v>0.30347694633408923</v>
      </c>
      <c r="W46" s="33">
        <f t="shared" si="9"/>
        <v>0.36885865457294026</v>
      </c>
    </row>
    <row r="47" spans="1:23" ht="14.4" customHeight="1" x14ac:dyDescent="0.4">
      <c r="A47" s="4" t="s">
        <v>35</v>
      </c>
      <c r="B47" s="4" t="s">
        <v>16</v>
      </c>
      <c r="C47" s="5">
        <v>10626</v>
      </c>
      <c r="D47" s="5">
        <v>5756</v>
      </c>
      <c r="E47" s="5">
        <v>4870</v>
      </c>
      <c r="F47" s="6">
        <v>105</v>
      </c>
      <c r="G47" s="5">
        <v>4765</v>
      </c>
      <c r="H47" s="5">
        <v>1949</v>
      </c>
      <c r="I47" s="5">
        <v>2544</v>
      </c>
      <c r="J47" s="6">
        <v>145</v>
      </c>
      <c r="K47" s="6">
        <v>37</v>
      </c>
      <c r="L47" s="6">
        <v>30</v>
      </c>
      <c r="M47" s="6">
        <v>60</v>
      </c>
      <c r="N47" s="85">
        <f t="shared" si="0"/>
        <v>-595</v>
      </c>
      <c r="O47" s="5">
        <f t="shared" si="1"/>
        <v>-323</v>
      </c>
      <c r="P47" s="33">
        <f t="shared" si="2"/>
        <v>0.40902413431269674</v>
      </c>
      <c r="Q47" s="33">
        <f t="shared" si="3"/>
        <v>0.53389296956977961</v>
      </c>
      <c r="R47" s="33">
        <f t="shared" si="4"/>
        <v>3.0430220356768102E-2</v>
      </c>
      <c r="S47" s="33">
        <f t="shared" si="5"/>
        <v>7.76495278069255E-3</v>
      </c>
      <c r="T47" s="33">
        <f t="shared" si="6"/>
        <v>6.2959076600209865E-3</v>
      </c>
      <c r="U47" s="33">
        <f t="shared" si="7"/>
        <v>1.2591815320041973E-2</v>
      </c>
      <c r="V47" s="87">
        <f t="shared" si="8"/>
        <v>-0.12486883525708287</v>
      </c>
      <c r="W47" s="33">
        <f t="shared" si="9"/>
        <v>-6.7785939139559215E-2</v>
      </c>
    </row>
    <row r="48" spans="1:23" s="29" customFormat="1" ht="14.4" customHeight="1" x14ac:dyDescent="0.4">
      <c r="A48" s="7" t="s">
        <v>36</v>
      </c>
      <c r="B48" s="7" t="s">
        <v>11</v>
      </c>
      <c r="C48" s="5">
        <v>25327</v>
      </c>
      <c r="D48" s="5">
        <v>10999</v>
      </c>
      <c r="E48" s="5">
        <v>14328</v>
      </c>
      <c r="F48" s="6">
        <v>184</v>
      </c>
      <c r="G48" s="8">
        <v>14144</v>
      </c>
      <c r="H48" s="9">
        <v>7358</v>
      </c>
      <c r="I48" s="8">
        <v>5835</v>
      </c>
      <c r="J48" s="10">
        <v>438</v>
      </c>
      <c r="K48" s="10">
        <v>180</v>
      </c>
      <c r="L48" s="10">
        <v>125</v>
      </c>
      <c r="M48" s="10">
        <v>208</v>
      </c>
      <c r="N48" s="81">
        <f t="shared" si="0"/>
        <v>1523</v>
      </c>
      <c r="O48" s="24">
        <f t="shared" si="1"/>
        <v>2474</v>
      </c>
      <c r="P48" s="35">
        <f t="shared" si="2"/>
        <v>0.52022058823529416</v>
      </c>
      <c r="Q48" s="32">
        <f t="shared" si="3"/>
        <v>0.41254242081447962</v>
      </c>
      <c r="R48" s="32">
        <f t="shared" si="4"/>
        <v>3.0967194570135748E-2</v>
      </c>
      <c r="S48" s="32">
        <f t="shared" si="5"/>
        <v>1.2726244343891403E-2</v>
      </c>
      <c r="T48" s="32">
        <f t="shared" si="6"/>
        <v>8.8376696832579184E-3</v>
      </c>
      <c r="U48" s="32">
        <f t="shared" si="7"/>
        <v>1.4705882352941176E-2</v>
      </c>
      <c r="V48" s="82">
        <f t="shared" si="8"/>
        <v>0.10767816742081454</v>
      </c>
      <c r="W48" s="39">
        <f t="shared" si="9"/>
        <v>0.17491515837104071</v>
      </c>
    </row>
    <row r="49" spans="1:23" ht="14.4" customHeight="1" x14ac:dyDescent="0.4">
      <c r="A49" s="4" t="s">
        <v>36</v>
      </c>
      <c r="B49" s="4" t="s">
        <v>15</v>
      </c>
      <c r="C49" s="5">
        <v>4072</v>
      </c>
      <c r="D49" s="6">
        <v>0</v>
      </c>
      <c r="E49" s="5">
        <v>4072</v>
      </c>
      <c r="F49" s="6">
        <v>43</v>
      </c>
      <c r="G49" s="5">
        <v>4029</v>
      </c>
      <c r="H49" s="5">
        <v>2616</v>
      </c>
      <c r="I49" s="5">
        <v>1111</v>
      </c>
      <c r="J49" s="6">
        <v>161</v>
      </c>
      <c r="K49" s="6">
        <v>40</v>
      </c>
      <c r="L49" s="6">
        <v>39</v>
      </c>
      <c r="M49" s="6">
        <v>62</v>
      </c>
      <c r="N49" s="85">
        <f t="shared" si="0"/>
        <v>1505</v>
      </c>
      <c r="O49" s="5">
        <f t="shared" si="1"/>
        <v>1807</v>
      </c>
      <c r="P49" s="33">
        <f t="shared" si="2"/>
        <v>0.64929262844378255</v>
      </c>
      <c r="Q49" s="33">
        <f t="shared" si="3"/>
        <v>0.27575080665177465</v>
      </c>
      <c r="R49" s="33">
        <f t="shared" si="4"/>
        <v>3.996028791263341E-2</v>
      </c>
      <c r="S49" s="33">
        <f t="shared" si="5"/>
        <v>9.928021841648052E-3</v>
      </c>
      <c r="T49" s="33">
        <f t="shared" si="6"/>
        <v>9.6798212956068497E-3</v>
      </c>
      <c r="U49" s="33">
        <f t="shared" si="7"/>
        <v>1.5388433854554479E-2</v>
      </c>
      <c r="V49" s="87">
        <f t="shared" si="8"/>
        <v>0.3735418217920079</v>
      </c>
      <c r="W49" s="33">
        <f t="shared" si="9"/>
        <v>0.4484983866964507</v>
      </c>
    </row>
    <row r="50" spans="1:23" ht="14.4" customHeight="1" x14ac:dyDescent="0.4">
      <c r="A50" s="4" t="s">
        <v>36</v>
      </c>
      <c r="B50" s="4" t="s">
        <v>16</v>
      </c>
      <c r="C50" s="5">
        <v>21255</v>
      </c>
      <c r="D50" s="5">
        <v>10999</v>
      </c>
      <c r="E50" s="5">
        <v>10256</v>
      </c>
      <c r="F50" s="6">
        <v>141</v>
      </c>
      <c r="G50" s="5">
        <v>10115</v>
      </c>
      <c r="H50" s="5">
        <v>4742</v>
      </c>
      <c r="I50" s="5">
        <v>4724</v>
      </c>
      <c r="J50" s="6">
        <v>277</v>
      </c>
      <c r="K50" s="6">
        <v>140</v>
      </c>
      <c r="L50" s="6">
        <v>86</v>
      </c>
      <c r="M50" s="6">
        <v>146</v>
      </c>
      <c r="N50" s="85">
        <f t="shared" si="0"/>
        <v>18</v>
      </c>
      <c r="O50" s="5">
        <f t="shared" si="1"/>
        <v>667</v>
      </c>
      <c r="P50" s="33">
        <f t="shared" si="2"/>
        <v>0.46880869995056845</v>
      </c>
      <c r="Q50" s="33">
        <f t="shared" si="3"/>
        <v>0.46702916460701926</v>
      </c>
      <c r="R50" s="33">
        <f t="shared" si="4"/>
        <v>2.7385071675729115E-2</v>
      </c>
      <c r="S50" s="33">
        <f t="shared" si="5"/>
        <v>1.384083044982699E-2</v>
      </c>
      <c r="T50" s="33">
        <f t="shared" si="6"/>
        <v>8.5022244191794369E-3</v>
      </c>
      <c r="U50" s="33">
        <f t="shared" si="7"/>
        <v>1.4434008897676718E-2</v>
      </c>
      <c r="V50" s="87">
        <f t="shared" si="8"/>
        <v>1.7795353435491879E-3</v>
      </c>
      <c r="W50" s="33">
        <f t="shared" si="9"/>
        <v>6.5941670785961581E-2</v>
      </c>
    </row>
    <row r="51" spans="1:23" ht="14.4" customHeight="1" x14ac:dyDescent="0.4">
      <c r="A51" s="4" t="s">
        <v>17</v>
      </c>
      <c r="B51" s="4"/>
      <c r="C51" s="6">
        <v>0</v>
      </c>
      <c r="D51" s="6">
        <v>-11</v>
      </c>
      <c r="E51" s="6">
        <v>11</v>
      </c>
      <c r="F51" s="6">
        <v>1</v>
      </c>
      <c r="G51" s="6">
        <v>10</v>
      </c>
      <c r="H51" s="6">
        <v>5</v>
      </c>
      <c r="I51" s="6">
        <v>3</v>
      </c>
      <c r="J51" s="6">
        <v>2</v>
      </c>
      <c r="K51" s="6">
        <v>0</v>
      </c>
      <c r="L51" s="6">
        <v>0</v>
      </c>
      <c r="M51" s="6">
        <v>0</v>
      </c>
      <c r="N51" s="85"/>
      <c r="O51" s="6"/>
      <c r="P51" s="33"/>
      <c r="Q51" s="33"/>
      <c r="R51" s="33"/>
      <c r="S51" s="33"/>
      <c r="T51" s="33"/>
      <c r="U51" s="33"/>
      <c r="V51" s="87"/>
      <c r="W51" s="33"/>
    </row>
  </sheetData>
  <mergeCells count="12">
    <mergeCell ref="W1:W2"/>
    <mergeCell ref="N1:N2"/>
    <mergeCell ref="V1:V2"/>
    <mergeCell ref="P1:U1"/>
    <mergeCell ref="A1:A2"/>
    <mergeCell ref="B1:B2"/>
    <mergeCell ref="C1:C2"/>
    <mergeCell ref="E1:E2"/>
    <mergeCell ref="H1:M1"/>
    <mergeCell ref="D1:D2"/>
    <mergeCell ref="G1:G2"/>
    <mergeCell ref="O1:O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2AED-8141-4C4F-BF61-2C15FA8629BC}">
  <dimension ref="A1:M51"/>
  <sheetViews>
    <sheetView workbookViewId="0">
      <selection activeCell="G48" sqref="G48:J48"/>
    </sheetView>
  </sheetViews>
  <sheetFormatPr defaultRowHeight="15.6" customHeight="1" x14ac:dyDescent="0.4"/>
  <cols>
    <col min="1" max="10" width="8.796875" style="28"/>
    <col min="11" max="13" width="8.796875" style="31"/>
    <col min="14" max="16384" width="8.796875" style="28"/>
  </cols>
  <sheetData>
    <row r="1" spans="1:13" ht="15.6" customHeight="1" x14ac:dyDescent="0.4">
      <c r="A1" s="271" t="s">
        <v>0</v>
      </c>
      <c r="B1" s="271" t="s">
        <v>1</v>
      </c>
      <c r="C1" s="271" t="s">
        <v>2</v>
      </c>
      <c r="D1" s="271" t="s">
        <v>6</v>
      </c>
      <c r="E1" s="271" t="s">
        <v>131</v>
      </c>
      <c r="F1" s="3" t="s">
        <v>5</v>
      </c>
      <c r="G1" s="271" t="s">
        <v>132</v>
      </c>
      <c r="H1" s="271" t="s">
        <v>83</v>
      </c>
      <c r="I1" s="271"/>
      <c r="J1" s="271"/>
      <c r="K1" s="332" t="s">
        <v>88</v>
      </c>
      <c r="L1" s="332"/>
      <c r="M1" s="332"/>
    </row>
    <row r="2" spans="1:13" ht="15.6" customHeight="1" x14ac:dyDescent="0.4">
      <c r="A2" s="271"/>
      <c r="B2" s="271"/>
      <c r="C2" s="271"/>
      <c r="D2" s="271"/>
      <c r="E2" s="271"/>
      <c r="F2" s="3" t="s">
        <v>3</v>
      </c>
      <c r="G2" s="271"/>
      <c r="H2" s="3" t="s">
        <v>18</v>
      </c>
      <c r="I2" s="3" t="s">
        <v>20</v>
      </c>
      <c r="J2" s="3" t="s">
        <v>87</v>
      </c>
      <c r="K2" s="21" t="s">
        <v>124</v>
      </c>
      <c r="L2" s="21" t="s">
        <v>100</v>
      </c>
      <c r="M2" s="21" t="s">
        <v>87</v>
      </c>
    </row>
    <row r="3" spans="1:13" s="29" customFormat="1" ht="15.6" customHeight="1" x14ac:dyDescent="0.4">
      <c r="A3" s="7" t="s">
        <v>12</v>
      </c>
      <c r="B3" s="7"/>
      <c r="C3" s="5">
        <v>148383</v>
      </c>
      <c r="D3" s="5">
        <v>59565</v>
      </c>
      <c r="E3" s="5">
        <v>88818</v>
      </c>
      <c r="F3" s="5">
        <v>2281</v>
      </c>
      <c r="G3" s="8">
        <v>86537</v>
      </c>
      <c r="H3" s="9">
        <v>45927</v>
      </c>
      <c r="I3" s="8">
        <v>40610</v>
      </c>
      <c r="J3" s="81">
        <f>H3-I3</f>
        <v>5317</v>
      </c>
      <c r="K3" s="35">
        <f>H3/G3</f>
        <v>0.53072096328737994</v>
      </c>
      <c r="L3" s="32">
        <f>I3/G3</f>
        <v>0.46927903671262006</v>
      </c>
      <c r="M3" s="82">
        <f>K3-L3</f>
        <v>6.1441926574759886E-2</v>
      </c>
    </row>
    <row r="4" spans="1:13" s="29" customFormat="1" ht="15.6" customHeight="1" x14ac:dyDescent="0.4">
      <c r="A4" s="7" t="s">
        <v>13</v>
      </c>
      <c r="B4" s="7"/>
      <c r="C4" s="6">
        <v>311</v>
      </c>
      <c r="D4" s="6">
        <v>28</v>
      </c>
      <c r="E4" s="6">
        <v>283</v>
      </c>
      <c r="F4" s="6">
        <v>20</v>
      </c>
      <c r="G4" s="10">
        <v>263</v>
      </c>
      <c r="H4" s="10">
        <v>121</v>
      </c>
      <c r="I4" s="11">
        <v>142</v>
      </c>
      <c r="J4" s="83">
        <f t="shared" ref="J4:J50" si="0">H4-I4</f>
        <v>-21</v>
      </c>
      <c r="K4" s="32">
        <f t="shared" ref="K4:K50" si="1">H4/G4</f>
        <v>0.46007604562737642</v>
      </c>
      <c r="L4" s="37">
        <f t="shared" ref="L4:L50" si="2">I4/G4</f>
        <v>0.53992395437262353</v>
      </c>
      <c r="M4" s="84">
        <f t="shared" ref="M4:M50" si="3">K4-L4</f>
        <v>-7.9847908745247109E-2</v>
      </c>
    </row>
    <row r="5" spans="1:13" s="29" customFormat="1" ht="15.6" customHeight="1" x14ac:dyDescent="0.4">
      <c r="A5" s="7" t="s">
        <v>14</v>
      </c>
      <c r="B5" s="7"/>
      <c r="C5" s="5">
        <v>10035</v>
      </c>
      <c r="D5" s="6">
        <v>7</v>
      </c>
      <c r="E5" s="5">
        <v>10028</v>
      </c>
      <c r="F5" s="6">
        <v>171</v>
      </c>
      <c r="G5" s="8">
        <v>9857</v>
      </c>
      <c r="H5" s="9">
        <v>6237</v>
      </c>
      <c r="I5" s="8">
        <v>3620</v>
      </c>
      <c r="J5" s="81">
        <f t="shared" si="0"/>
        <v>2617</v>
      </c>
      <c r="K5" s="35">
        <f t="shared" si="1"/>
        <v>0.63274830070001009</v>
      </c>
      <c r="L5" s="32">
        <f t="shared" si="2"/>
        <v>0.36725169929998985</v>
      </c>
      <c r="M5" s="82">
        <f t="shared" si="3"/>
        <v>0.26549660140002024</v>
      </c>
    </row>
    <row r="6" spans="1:13" s="29" customFormat="1" ht="15.6" customHeight="1" x14ac:dyDescent="0.4">
      <c r="A6" s="7" t="s">
        <v>22</v>
      </c>
      <c r="B6" s="7" t="s">
        <v>11</v>
      </c>
      <c r="C6" s="5">
        <v>10344</v>
      </c>
      <c r="D6" s="5">
        <v>4616</v>
      </c>
      <c r="E6" s="5">
        <v>5728</v>
      </c>
      <c r="F6" s="6">
        <v>179</v>
      </c>
      <c r="G6" s="8">
        <v>5549</v>
      </c>
      <c r="H6" s="9">
        <v>2973</v>
      </c>
      <c r="I6" s="8">
        <v>2576</v>
      </c>
      <c r="J6" s="81">
        <f t="shared" si="0"/>
        <v>397</v>
      </c>
      <c r="K6" s="35">
        <f t="shared" si="1"/>
        <v>0.53577221120922691</v>
      </c>
      <c r="L6" s="32">
        <f t="shared" si="2"/>
        <v>0.46422778879077309</v>
      </c>
      <c r="M6" s="82">
        <f t="shared" si="3"/>
        <v>7.1544422418453824E-2</v>
      </c>
    </row>
    <row r="7" spans="1:13" ht="15.6" customHeight="1" x14ac:dyDescent="0.4">
      <c r="A7" s="4" t="s">
        <v>22</v>
      </c>
      <c r="B7" s="4" t="s">
        <v>15</v>
      </c>
      <c r="C7" s="5">
        <v>2114</v>
      </c>
      <c r="D7" s="6">
        <v>2</v>
      </c>
      <c r="E7" s="5">
        <v>2112</v>
      </c>
      <c r="F7" s="6">
        <v>39</v>
      </c>
      <c r="G7" s="5">
        <v>2073</v>
      </c>
      <c r="H7" s="5">
        <v>1411</v>
      </c>
      <c r="I7" s="6">
        <v>662</v>
      </c>
      <c r="J7" s="85">
        <f t="shared" si="0"/>
        <v>749</v>
      </c>
      <c r="K7" s="33">
        <f t="shared" si="1"/>
        <v>0.6806560540279788</v>
      </c>
      <c r="L7" s="33">
        <f t="shared" si="2"/>
        <v>0.3193439459720212</v>
      </c>
      <c r="M7" s="87">
        <f t="shared" si="3"/>
        <v>0.36131210805595759</v>
      </c>
    </row>
    <row r="8" spans="1:13" ht="15.6" customHeight="1" x14ac:dyDescent="0.4">
      <c r="A8" s="4" t="s">
        <v>22</v>
      </c>
      <c r="B8" s="4" t="s">
        <v>16</v>
      </c>
      <c r="C8" s="5">
        <v>8230</v>
      </c>
      <c r="D8" s="5">
        <v>4614</v>
      </c>
      <c r="E8" s="5">
        <v>3616</v>
      </c>
      <c r="F8" s="6">
        <v>140</v>
      </c>
      <c r="G8" s="5">
        <v>3476</v>
      </c>
      <c r="H8" s="5">
        <v>1562</v>
      </c>
      <c r="I8" s="5">
        <v>1914</v>
      </c>
      <c r="J8" s="85">
        <f t="shared" si="0"/>
        <v>-352</v>
      </c>
      <c r="K8" s="33">
        <f t="shared" si="1"/>
        <v>0.44936708860759494</v>
      </c>
      <c r="L8" s="33">
        <f t="shared" si="2"/>
        <v>0.55063291139240511</v>
      </c>
      <c r="M8" s="87">
        <f t="shared" si="3"/>
        <v>-0.10126582278481017</v>
      </c>
    </row>
    <row r="9" spans="1:13" s="29" customFormat="1" ht="15.6" customHeight="1" x14ac:dyDescent="0.4">
      <c r="A9" s="7" t="s">
        <v>23</v>
      </c>
      <c r="B9" s="7" t="s">
        <v>11</v>
      </c>
      <c r="C9" s="5">
        <v>5911</v>
      </c>
      <c r="D9" s="5">
        <v>2232</v>
      </c>
      <c r="E9" s="5">
        <v>3679</v>
      </c>
      <c r="F9" s="6">
        <v>138</v>
      </c>
      <c r="G9" s="8">
        <v>3541</v>
      </c>
      <c r="H9" s="9">
        <v>1858</v>
      </c>
      <c r="I9" s="8">
        <v>1683</v>
      </c>
      <c r="J9" s="81">
        <f t="shared" si="0"/>
        <v>175</v>
      </c>
      <c r="K9" s="35">
        <f t="shared" si="1"/>
        <v>0.52471053374752896</v>
      </c>
      <c r="L9" s="32">
        <f t="shared" si="2"/>
        <v>0.47528946625247104</v>
      </c>
      <c r="M9" s="82">
        <f t="shared" si="3"/>
        <v>4.9421067495057924E-2</v>
      </c>
    </row>
    <row r="10" spans="1:13" ht="15.6" customHeight="1" x14ac:dyDescent="0.4">
      <c r="A10" s="4" t="s">
        <v>23</v>
      </c>
      <c r="B10" s="4" t="s">
        <v>15</v>
      </c>
      <c r="C10" s="5">
        <v>1424</v>
      </c>
      <c r="D10" s="6">
        <v>1</v>
      </c>
      <c r="E10" s="5">
        <v>1423</v>
      </c>
      <c r="F10" s="6">
        <v>29</v>
      </c>
      <c r="G10" s="5">
        <v>1394</v>
      </c>
      <c r="H10" s="6">
        <v>926</v>
      </c>
      <c r="I10" s="6">
        <v>468</v>
      </c>
      <c r="J10" s="85">
        <f t="shared" si="0"/>
        <v>458</v>
      </c>
      <c r="K10" s="33">
        <f t="shared" si="1"/>
        <v>0.66427546628407463</v>
      </c>
      <c r="L10" s="33">
        <f t="shared" si="2"/>
        <v>0.33572453371592542</v>
      </c>
      <c r="M10" s="87">
        <f t="shared" si="3"/>
        <v>0.32855093256814921</v>
      </c>
    </row>
    <row r="11" spans="1:13" ht="15.6" customHeight="1" x14ac:dyDescent="0.4">
      <c r="A11" s="4" t="s">
        <v>23</v>
      </c>
      <c r="B11" s="4" t="s">
        <v>16</v>
      </c>
      <c r="C11" s="5">
        <v>4487</v>
      </c>
      <c r="D11" s="5">
        <v>2231</v>
      </c>
      <c r="E11" s="5">
        <v>2256</v>
      </c>
      <c r="F11" s="6">
        <v>109</v>
      </c>
      <c r="G11" s="5">
        <v>2147</v>
      </c>
      <c r="H11" s="6">
        <v>932</v>
      </c>
      <c r="I11" s="5">
        <v>1215</v>
      </c>
      <c r="J11" s="85">
        <f t="shared" si="0"/>
        <v>-283</v>
      </c>
      <c r="K11" s="33">
        <f t="shared" si="1"/>
        <v>0.43409408476944572</v>
      </c>
      <c r="L11" s="33">
        <f t="shared" si="2"/>
        <v>0.56590591523055422</v>
      </c>
      <c r="M11" s="87">
        <f t="shared" si="3"/>
        <v>-0.1318118304611085</v>
      </c>
    </row>
    <row r="12" spans="1:13" s="29" customFormat="1" ht="15.6" customHeight="1" x14ac:dyDescent="0.4">
      <c r="A12" s="7" t="s">
        <v>24</v>
      </c>
      <c r="B12" s="7" t="s">
        <v>11</v>
      </c>
      <c r="C12" s="5">
        <v>4473</v>
      </c>
      <c r="D12" s="5">
        <v>1805</v>
      </c>
      <c r="E12" s="5">
        <v>2668</v>
      </c>
      <c r="F12" s="6">
        <v>109</v>
      </c>
      <c r="G12" s="8">
        <v>2559</v>
      </c>
      <c r="H12" s="8">
        <v>1079</v>
      </c>
      <c r="I12" s="12">
        <v>1480</v>
      </c>
      <c r="J12" s="83">
        <f t="shared" si="0"/>
        <v>-401</v>
      </c>
      <c r="K12" s="32">
        <f t="shared" si="1"/>
        <v>0.42164908167252835</v>
      </c>
      <c r="L12" s="37">
        <f t="shared" si="2"/>
        <v>0.57835091832747165</v>
      </c>
      <c r="M12" s="84">
        <f t="shared" si="3"/>
        <v>-0.15670183665494331</v>
      </c>
    </row>
    <row r="13" spans="1:13" ht="15.6" customHeight="1" x14ac:dyDescent="0.4">
      <c r="A13" s="4" t="s">
        <v>24</v>
      </c>
      <c r="B13" s="4" t="s">
        <v>15</v>
      </c>
      <c r="C13" s="6">
        <v>829</v>
      </c>
      <c r="D13" s="6">
        <v>1</v>
      </c>
      <c r="E13" s="6">
        <v>828</v>
      </c>
      <c r="F13" s="6">
        <v>22</v>
      </c>
      <c r="G13" s="6">
        <v>806</v>
      </c>
      <c r="H13" s="6">
        <v>418</v>
      </c>
      <c r="I13" s="6">
        <v>388</v>
      </c>
      <c r="J13" s="85">
        <f t="shared" si="0"/>
        <v>30</v>
      </c>
      <c r="K13" s="33">
        <f t="shared" si="1"/>
        <v>0.5186104218362283</v>
      </c>
      <c r="L13" s="33">
        <f t="shared" si="2"/>
        <v>0.4813895781637717</v>
      </c>
      <c r="M13" s="87">
        <f t="shared" si="3"/>
        <v>3.7220843672456594E-2</v>
      </c>
    </row>
    <row r="14" spans="1:13" ht="15.6" customHeight="1" x14ac:dyDescent="0.4">
      <c r="A14" s="4" t="s">
        <v>24</v>
      </c>
      <c r="B14" s="4" t="s">
        <v>16</v>
      </c>
      <c r="C14" s="5">
        <v>3644</v>
      </c>
      <c r="D14" s="5">
        <v>1804</v>
      </c>
      <c r="E14" s="5">
        <v>1840</v>
      </c>
      <c r="F14" s="6">
        <v>87</v>
      </c>
      <c r="G14" s="5">
        <v>1753</v>
      </c>
      <c r="H14" s="6">
        <v>661</v>
      </c>
      <c r="I14" s="5">
        <v>1092</v>
      </c>
      <c r="J14" s="85">
        <f t="shared" si="0"/>
        <v>-431</v>
      </c>
      <c r="K14" s="33">
        <f t="shared" si="1"/>
        <v>0.37706788362806615</v>
      </c>
      <c r="L14" s="33">
        <f t="shared" si="2"/>
        <v>0.6229321163719338</v>
      </c>
      <c r="M14" s="87">
        <f t="shared" si="3"/>
        <v>-0.24586423274386765</v>
      </c>
    </row>
    <row r="15" spans="1:13" s="29" customFormat="1" ht="15.6" customHeight="1" x14ac:dyDescent="0.4">
      <c r="A15" s="7" t="s">
        <v>25</v>
      </c>
      <c r="B15" s="7" t="s">
        <v>11</v>
      </c>
      <c r="C15" s="5">
        <v>2870</v>
      </c>
      <c r="D15" s="5">
        <v>1018</v>
      </c>
      <c r="E15" s="5">
        <v>1852</v>
      </c>
      <c r="F15" s="6">
        <v>84</v>
      </c>
      <c r="G15" s="8">
        <v>1768</v>
      </c>
      <c r="H15" s="10">
        <v>729</v>
      </c>
      <c r="I15" s="12">
        <v>1039</v>
      </c>
      <c r="J15" s="83">
        <f t="shared" si="0"/>
        <v>-310</v>
      </c>
      <c r="K15" s="32">
        <f t="shared" si="1"/>
        <v>0.41233031674208143</v>
      </c>
      <c r="L15" s="37">
        <f t="shared" si="2"/>
        <v>0.58766968325791857</v>
      </c>
      <c r="M15" s="84">
        <f t="shared" si="3"/>
        <v>-0.17533936651583715</v>
      </c>
    </row>
    <row r="16" spans="1:13" ht="15.6" customHeight="1" x14ac:dyDescent="0.4">
      <c r="A16" s="4" t="s">
        <v>25</v>
      </c>
      <c r="B16" s="4" t="s">
        <v>15</v>
      </c>
      <c r="C16" s="6">
        <v>685</v>
      </c>
      <c r="D16" s="6">
        <v>0</v>
      </c>
      <c r="E16" s="6">
        <v>685</v>
      </c>
      <c r="F16" s="6">
        <v>20</v>
      </c>
      <c r="G16" s="6">
        <v>665</v>
      </c>
      <c r="H16" s="6">
        <v>344</v>
      </c>
      <c r="I16" s="6">
        <v>321</v>
      </c>
      <c r="J16" s="85">
        <f t="shared" si="0"/>
        <v>23</v>
      </c>
      <c r="K16" s="33">
        <f t="shared" si="1"/>
        <v>0.5172932330827068</v>
      </c>
      <c r="L16" s="33">
        <f t="shared" si="2"/>
        <v>0.48270676691729325</v>
      </c>
      <c r="M16" s="87">
        <f t="shared" si="3"/>
        <v>3.4586466165413554E-2</v>
      </c>
    </row>
    <row r="17" spans="1:13" ht="15.6" customHeight="1" x14ac:dyDescent="0.4">
      <c r="A17" s="4" t="s">
        <v>25</v>
      </c>
      <c r="B17" s="4" t="s">
        <v>16</v>
      </c>
      <c r="C17" s="5">
        <v>2185</v>
      </c>
      <c r="D17" s="5">
        <v>1018</v>
      </c>
      <c r="E17" s="5">
        <v>1167</v>
      </c>
      <c r="F17" s="6">
        <v>64</v>
      </c>
      <c r="G17" s="5">
        <v>1103</v>
      </c>
      <c r="H17" s="6">
        <v>385</v>
      </c>
      <c r="I17" s="6">
        <v>718</v>
      </c>
      <c r="J17" s="85">
        <f t="shared" si="0"/>
        <v>-333</v>
      </c>
      <c r="K17" s="33">
        <f t="shared" si="1"/>
        <v>0.34904805077062556</v>
      </c>
      <c r="L17" s="33">
        <f t="shared" si="2"/>
        <v>0.65095194922937438</v>
      </c>
      <c r="M17" s="87">
        <f t="shared" si="3"/>
        <v>-0.30190389845874882</v>
      </c>
    </row>
    <row r="18" spans="1:13" s="29" customFormat="1" ht="15.6" customHeight="1" x14ac:dyDescent="0.4">
      <c r="A18" s="7" t="s">
        <v>26</v>
      </c>
      <c r="B18" s="7" t="s">
        <v>11</v>
      </c>
      <c r="C18" s="5">
        <v>6257</v>
      </c>
      <c r="D18" s="5">
        <v>2682</v>
      </c>
      <c r="E18" s="5">
        <v>3575</v>
      </c>
      <c r="F18" s="6">
        <v>120</v>
      </c>
      <c r="G18" s="8">
        <v>3455</v>
      </c>
      <c r="H18" s="9">
        <v>1753</v>
      </c>
      <c r="I18" s="8">
        <v>1702</v>
      </c>
      <c r="J18" s="81">
        <f t="shared" si="0"/>
        <v>51</v>
      </c>
      <c r="K18" s="35">
        <f t="shared" si="1"/>
        <v>0.50738060781476124</v>
      </c>
      <c r="L18" s="32">
        <f t="shared" si="2"/>
        <v>0.49261939218523876</v>
      </c>
      <c r="M18" s="82">
        <f t="shared" si="3"/>
        <v>1.4761215629522484E-2</v>
      </c>
    </row>
    <row r="19" spans="1:13" ht="15.6" customHeight="1" x14ac:dyDescent="0.4">
      <c r="A19" s="4" t="s">
        <v>26</v>
      </c>
      <c r="B19" s="4" t="s">
        <v>15</v>
      </c>
      <c r="C19" s="5">
        <v>1092</v>
      </c>
      <c r="D19" s="6">
        <v>0</v>
      </c>
      <c r="E19" s="5">
        <v>1092</v>
      </c>
      <c r="F19" s="6">
        <v>27</v>
      </c>
      <c r="G19" s="5">
        <v>1065</v>
      </c>
      <c r="H19" s="6">
        <v>612</v>
      </c>
      <c r="I19" s="6">
        <v>453</v>
      </c>
      <c r="J19" s="85">
        <f t="shared" si="0"/>
        <v>159</v>
      </c>
      <c r="K19" s="33">
        <f t="shared" si="1"/>
        <v>0.57464788732394367</v>
      </c>
      <c r="L19" s="33">
        <f t="shared" si="2"/>
        <v>0.42535211267605633</v>
      </c>
      <c r="M19" s="87">
        <f t="shared" si="3"/>
        <v>0.14929577464788735</v>
      </c>
    </row>
    <row r="20" spans="1:13" ht="15.6" customHeight="1" x14ac:dyDescent="0.4">
      <c r="A20" s="4" t="s">
        <v>26</v>
      </c>
      <c r="B20" s="4" t="s">
        <v>16</v>
      </c>
      <c r="C20" s="5">
        <v>5165</v>
      </c>
      <c r="D20" s="5">
        <v>2682</v>
      </c>
      <c r="E20" s="5">
        <v>2483</v>
      </c>
      <c r="F20" s="6">
        <v>93</v>
      </c>
      <c r="G20" s="5">
        <v>2390</v>
      </c>
      <c r="H20" s="5">
        <v>1141</v>
      </c>
      <c r="I20" s="5">
        <v>1249</v>
      </c>
      <c r="J20" s="85">
        <f t="shared" si="0"/>
        <v>-108</v>
      </c>
      <c r="K20" s="33">
        <f t="shared" si="1"/>
        <v>0.47740585774058575</v>
      </c>
      <c r="L20" s="33">
        <f t="shared" si="2"/>
        <v>0.52259414225941425</v>
      </c>
      <c r="M20" s="87">
        <f t="shared" si="3"/>
        <v>-4.5188284518828503E-2</v>
      </c>
    </row>
    <row r="21" spans="1:13" s="29" customFormat="1" ht="15.6" customHeight="1" x14ac:dyDescent="0.4">
      <c r="A21" s="7" t="s">
        <v>27</v>
      </c>
      <c r="B21" s="7" t="s">
        <v>11</v>
      </c>
      <c r="C21" s="5">
        <v>12092</v>
      </c>
      <c r="D21" s="5">
        <v>5527</v>
      </c>
      <c r="E21" s="5">
        <v>6565</v>
      </c>
      <c r="F21" s="6">
        <v>142</v>
      </c>
      <c r="G21" s="8">
        <v>6423</v>
      </c>
      <c r="H21" s="9">
        <v>4155</v>
      </c>
      <c r="I21" s="8">
        <v>2268</v>
      </c>
      <c r="J21" s="81">
        <f t="shared" si="0"/>
        <v>1887</v>
      </c>
      <c r="K21" s="35">
        <f t="shared" si="1"/>
        <v>0.64689397477814103</v>
      </c>
      <c r="L21" s="32">
        <f t="shared" si="2"/>
        <v>0.35310602522185897</v>
      </c>
      <c r="M21" s="82">
        <f t="shared" si="3"/>
        <v>0.29378794955628207</v>
      </c>
    </row>
    <row r="22" spans="1:13" ht="15.6" customHeight="1" x14ac:dyDescent="0.4">
      <c r="A22" s="4" t="s">
        <v>27</v>
      </c>
      <c r="B22" s="4" t="s">
        <v>15</v>
      </c>
      <c r="C22" s="5">
        <v>2354</v>
      </c>
      <c r="D22" s="6">
        <v>2</v>
      </c>
      <c r="E22" s="5">
        <v>2352</v>
      </c>
      <c r="F22" s="6">
        <v>28</v>
      </c>
      <c r="G22" s="5">
        <v>2324</v>
      </c>
      <c r="H22" s="5">
        <v>1821</v>
      </c>
      <c r="I22" s="6">
        <v>503</v>
      </c>
      <c r="J22" s="85">
        <f t="shared" si="0"/>
        <v>1318</v>
      </c>
      <c r="K22" s="33">
        <f t="shared" si="1"/>
        <v>0.78356282271944921</v>
      </c>
      <c r="L22" s="33">
        <f t="shared" si="2"/>
        <v>0.21643717728055079</v>
      </c>
      <c r="M22" s="87">
        <f t="shared" si="3"/>
        <v>0.56712564543889843</v>
      </c>
    </row>
    <row r="23" spans="1:13" ht="15.6" customHeight="1" x14ac:dyDescent="0.4">
      <c r="A23" s="4" t="s">
        <v>27</v>
      </c>
      <c r="B23" s="4" t="s">
        <v>16</v>
      </c>
      <c r="C23" s="5">
        <v>9738</v>
      </c>
      <c r="D23" s="5">
        <v>5525</v>
      </c>
      <c r="E23" s="5">
        <v>4213</v>
      </c>
      <c r="F23" s="6">
        <v>114</v>
      </c>
      <c r="G23" s="5">
        <v>4099</v>
      </c>
      <c r="H23" s="5">
        <v>2334</v>
      </c>
      <c r="I23" s="5">
        <v>1765</v>
      </c>
      <c r="J23" s="85">
        <f t="shared" si="0"/>
        <v>569</v>
      </c>
      <c r="K23" s="33">
        <f t="shared" si="1"/>
        <v>0.56940717248109296</v>
      </c>
      <c r="L23" s="33">
        <f t="shared" si="2"/>
        <v>0.43059282751890704</v>
      </c>
      <c r="M23" s="87">
        <f t="shared" si="3"/>
        <v>0.13881434496218592</v>
      </c>
    </row>
    <row r="24" spans="1:13" s="29" customFormat="1" ht="15.6" customHeight="1" x14ac:dyDescent="0.4">
      <c r="A24" s="7" t="s">
        <v>28</v>
      </c>
      <c r="B24" s="7" t="s">
        <v>11</v>
      </c>
      <c r="C24" s="5">
        <v>7569</v>
      </c>
      <c r="D24" s="5">
        <v>3287</v>
      </c>
      <c r="E24" s="5">
        <v>4282</v>
      </c>
      <c r="F24" s="6">
        <v>150</v>
      </c>
      <c r="G24" s="8">
        <v>4132</v>
      </c>
      <c r="H24" s="8">
        <v>1936</v>
      </c>
      <c r="I24" s="12">
        <v>2196</v>
      </c>
      <c r="J24" s="83">
        <f t="shared" si="0"/>
        <v>-260</v>
      </c>
      <c r="K24" s="32">
        <f t="shared" si="1"/>
        <v>0.46853823814133594</v>
      </c>
      <c r="L24" s="37">
        <f t="shared" si="2"/>
        <v>0.53146176185866412</v>
      </c>
      <c r="M24" s="84">
        <f t="shared" si="3"/>
        <v>-6.2923523717328178E-2</v>
      </c>
    </row>
    <row r="25" spans="1:13" ht="15.6" customHeight="1" x14ac:dyDescent="0.4">
      <c r="A25" s="4" t="s">
        <v>28</v>
      </c>
      <c r="B25" s="4" t="s">
        <v>15</v>
      </c>
      <c r="C25" s="5">
        <v>1117</v>
      </c>
      <c r="D25" s="6">
        <v>2</v>
      </c>
      <c r="E25" s="5">
        <v>1115</v>
      </c>
      <c r="F25" s="6">
        <v>36</v>
      </c>
      <c r="G25" s="5">
        <v>1079</v>
      </c>
      <c r="H25" s="6">
        <v>662</v>
      </c>
      <c r="I25" s="6">
        <v>417</v>
      </c>
      <c r="J25" s="85">
        <f t="shared" si="0"/>
        <v>245</v>
      </c>
      <c r="K25" s="33">
        <f t="shared" si="1"/>
        <v>0.61353104726598706</v>
      </c>
      <c r="L25" s="33">
        <f t="shared" si="2"/>
        <v>0.38646895273401299</v>
      </c>
      <c r="M25" s="87">
        <f t="shared" si="3"/>
        <v>0.22706209453197407</v>
      </c>
    </row>
    <row r="26" spans="1:13" ht="15.6" customHeight="1" x14ac:dyDescent="0.4">
      <c r="A26" s="4" t="s">
        <v>28</v>
      </c>
      <c r="B26" s="4" t="s">
        <v>16</v>
      </c>
      <c r="C26" s="5">
        <v>6452</v>
      </c>
      <c r="D26" s="5">
        <v>3285</v>
      </c>
      <c r="E26" s="5">
        <v>3167</v>
      </c>
      <c r="F26" s="6">
        <v>114</v>
      </c>
      <c r="G26" s="5">
        <v>3053</v>
      </c>
      <c r="H26" s="5">
        <v>1274</v>
      </c>
      <c r="I26" s="5">
        <v>1779</v>
      </c>
      <c r="J26" s="85">
        <f t="shared" si="0"/>
        <v>-505</v>
      </c>
      <c r="K26" s="33">
        <f t="shared" si="1"/>
        <v>0.41729446446118573</v>
      </c>
      <c r="L26" s="33">
        <f t="shared" si="2"/>
        <v>0.58270553553881432</v>
      </c>
      <c r="M26" s="87">
        <f t="shared" si="3"/>
        <v>-0.16541107107762859</v>
      </c>
    </row>
    <row r="27" spans="1:13" s="29" customFormat="1" ht="15.6" customHeight="1" x14ac:dyDescent="0.4">
      <c r="A27" s="7" t="s">
        <v>29</v>
      </c>
      <c r="B27" s="7" t="s">
        <v>11</v>
      </c>
      <c r="C27" s="5">
        <v>4342</v>
      </c>
      <c r="D27" s="5">
        <v>1591</v>
      </c>
      <c r="E27" s="5">
        <v>2751</v>
      </c>
      <c r="F27" s="6">
        <v>57</v>
      </c>
      <c r="G27" s="8">
        <v>2694</v>
      </c>
      <c r="H27" s="8">
        <v>1079</v>
      </c>
      <c r="I27" s="12">
        <v>1615</v>
      </c>
      <c r="J27" s="83">
        <f t="shared" si="0"/>
        <v>-536</v>
      </c>
      <c r="K27" s="32">
        <f t="shared" si="1"/>
        <v>0.40051967334818112</v>
      </c>
      <c r="L27" s="37">
        <f t="shared" si="2"/>
        <v>0.59948032665181883</v>
      </c>
      <c r="M27" s="84">
        <f t="shared" si="3"/>
        <v>-0.19896065330363771</v>
      </c>
    </row>
    <row r="28" spans="1:13" ht="15.6" customHeight="1" x14ac:dyDescent="0.4">
      <c r="A28" s="4" t="s">
        <v>29</v>
      </c>
      <c r="B28" s="4" t="s">
        <v>15</v>
      </c>
      <c r="C28" s="6">
        <v>934</v>
      </c>
      <c r="D28" s="6">
        <v>0</v>
      </c>
      <c r="E28" s="6">
        <v>934</v>
      </c>
      <c r="F28" s="6">
        <v>30</v>
      </c>
      <c r="G28" s="6">
        <v>904</v>
      </c>
      <c r="H28" s="6">
        <v>506</v>
      </c>
      <c r="I28" s="6">
        <v>398</v>
      </c>
      <c r="J28" s="85">
        <f t="shared" si="0"/>
        <v>108</v>
      </c>
      <c r="K28" s="33">
        <f t="shared" si="1"/>
        <v>0.55973451327433632</v>
      </c>
      <c r="L28" s="33">
        <f t="shared" si="2"/>
        <v>0.44026548672566373</v>
      </c>
      <c r="M28" s="87">
        <f t="shared" si="3"/>
        <v>0.11946902654867259</v>
      </c>
    </row>
    <row r="29" spans="1:13" ht="15.6" customHeight="1" x14ac:dyDescent="0.4">
      <c r="A29" s="4" t="s">
        <v>29</v>
      </c>
      <c r="B29" s="4" t="s">
        <v>16</v>
      </c>
      <c r="C29" s="5">
        <v>3408</v>
      </c>
      <c r="D29" s="5">
        <v>1591</v>
      </c>
      <c r="E29" s="5">
        <v>1817</v>
      </c>
      <c r="F29" s="6">
        <v>27</v>
      </c>
      <c r="G29" s="5">
        <v>1790</v>
      </c>
      <c r="H29" s="6">
        <v>573</v>
      </c>
      <c r="I29" s="5">
        <v>1217</v>
      </c>
      <c r="J29" s="85">
        <f t="shared" si="0"/>
        <v>-644</v>
      </c>
      <c r="K29" s="33">
        <f t="shared" si="1"/>
        <v>0.32011173184357544</v>
      </c>
      <c r="L29" s="33">
        <f t="shared" si="2"/>
        <v>0.67988826815642456</v>
      </c>
      <c r="M29" s="87">
        <f t="shared" si="3"/>
        <v>-0.35977653631284912</v>
      </c>
    </row>
    <row r="30" spans="1:13" s="29" customFormat="1" ht="15.6" customHeight="1" x14ac:dyDescent="0.4">
      <c r="A30" s="7" t="s">
        <v>30</v>
      </c>
      <c r="B30" s="7" t="s">
        <v>11</v>
      </c>
      <c r="C30" s="5">
        <v>6526</v>
      </c>
      <c r="D30" s="5">
        <v>2708</v>
      </c>
      <c r="E30" s="5">
        <v>3818</v>
      </c>
      <c r="F30" s="6">
        <v>122</v>
      </c>
      <c r="G30" s="8">
        <v>3696</v>
      </c>
      <c r="H30" s="8">
        <v>1504</v>
      </c>
      <c r="I30" s="12">
        <v>2192</v>
      </c>
      <c r="J30" s="83">
        <f t="shared" si="0"/>
        <v>-688</v>
      </c>
      <c r="K30" s="32">
        <f t="shared" si="1"/>
        <v>0.40692640692640691</v>
      </c>
      <c r="L30" s="37">
        <f t="shared" si="2"/>
        <v>0.59307359307359309</v>
      </c>
      <c r="M30" s="84">
        <f t="shared" si="3"/>
        <v>-0.18614718614718617</v>
      </c>
    </row>
    <row r="31" spans="1:13" ht="15.6" customHeight="1" x14ac:dyDescent="0.4">
      <c r="A31" s="4" t="s">
        <v>30</v>
      </c>
      <c r="B31" s="4" t="s">
        <v>15</v>
      </c>
      <c r="C31" s="5">
        <v>1509</v>
      </c>
      <c r="D31" s="6">
        <v>2</v>
      </c>
      <c r="E31" s="5">
        <v>1507</v>
      </c>
      <c r="F31" s="6">
        <v>36</v>
      </c>
      <c r="G31" s="5">
        <v>1471</v>
      </c>
      <c r="H31" s="6">
        <v>823</v>
      </c>
      <c r="I31" s="6">
        <v>648</v>
      </c>
      <c r="J31" s="85">
        <f t="shared" si="0"/>
        <v>175</v>
      </c>
      <c r="K31" s="33">
        <f t="shared" si="1"/>
        <v>0.55948334466349425</v>
      </c>
      <c r="L31" s="33">
        <f t="shared" si="2"/>
        <v>0.4405166553365058</v>
      </c>
      <c r="M31" s="87">
        <f t="shared" si="3"/>
        <v>0.11896668932698845</v>
      </c>
    </row>
    <row r="32" spans="1:13" ht="15.6" customHeight="1" x14ac:dyDescent="0.4">
      <c r="A32" s="4" t="s">
        <v>30</v>
      </c>
      <c r="B32" s="4" t="s">
        <v>16</v>
      </c>
      <c r="C32" s="5">
        <v>5017</v>
      </c>
      <c r="D32" s="5">
        <v>2706</v>
      </c>
      <c r="E32" s="5">
        <v>2311</v>
      </c>
      <c r="F32" s="6">
        <v>86</v>
      </c>
      <c r="G32" s="5">
        <v>2225</v>
      </c>
      <c r="H32" s="6">
        <v>681</v>
      </c>
      <c r="I32" s="5">
        <v>1544</v>
      </c>
      <c r="J32" s="85">
        <f t="shared" si="0"/>
        <v>-863</v>
      </c>
      <c r="K32" s="33">
        <f t="shared" si="1"/>
        <v>0.30606741573033708</v>
      </c>
      <c r="L32" s="33">
        <f t="shared" si="2"/>
        <v>0.69393258426966287</v>
      </c>
      <c r="M32" s="87">
        <f t="shared" si="3"/>
        <v>-0.38786516853932579</v>
      </c>
    </row>
    <row r="33" spans="1:13" s="29" customFormat="1" ht="15.6" customHeight="1" x14ac:dyDescent="0.4">
      <c r="A33" s="7" t="s">
        <v>31</v>
      </c>
      <c r="B33" s="7" t="s">
        <v>11</v>
      </c>
      <c r="C33" s="5">
        <v>4488</v>
      </c>
      <c r="D33" s="5">
        <v>2093</v>
      </c>
      <c r="E33" s="5">
        <v>2395</v>
      </c>
      <c r="F33" s="6">
        <v>96</v>
      </c>
      <c r="G33" s="8">
        <v>2299</v>
      </c>
      <c r="H33" s="8">
        <v>1029</v>
      </c>
      <c r="I33" s="12">
        <v>1270</v>
      </c>
      <c r="J33" s="83">
        <f t="shared" si="0"/>
        <v>-241</v>
      </c>
      <c r="K33" s="32">
        <f t="shared" si="1"/>
        <v>0.44758590691605044</v>
      </c>
      <c r="L33" s="37">
        <f t="shared" si="2"/>
        <v>0.55241409308394951</v>
      </c>
      <c r="M33" s="84">
        <f t="shared" si="3"/>
        <v>-0.10482818616789907</v>
      </c>
    </row>
    <row r="34" spans="1:13" ht="15.6" customHeight="1" x14ac:dyDescent="0.4">
      <c r="A34" s="4" t="s">
        <v>31</v>
      </c>
      <c r="B34" s="4" t="s">
        <v>15</v>
      </c>
      <c r="C34" s="6">
        <v>611</v>
      </c>
      <c r="D34" s="6">
        <v>0</v>
      </c>
      <c r="E34" s="6">
        <v>611</v>
      </c>
      <c r="F34" s="6">
        <v>20</v>
      </c>
      <c r="G34" s="6">
        <v>591</v>
      </c>
      <c r="H34" s="6">
        <v>345</v>
      </c>
      <c r="I34" s="6">
        <v>246</v>
      </c>
      <c r="J34" s="85">
        <f t="shared" si="0"/>
        <v>99</v>
      </c>
      <c r="K34" s="33">
        <f t="shared" si="1"/>
        <v>0.58375634517766495</v>
      </c>
      <c r="L34" s="33">
        <f t="shared" si="2"/>
        <v>0.41624365482233505</v>
      </c>
      <c r="M34" s="87">
        <f t="shared" si="3"/>
        <v>0.1675126903553299</v>
      </c>
    </row>
    <row r="35" spans="1:13" ht="15.6" customHeight="1" x14ac:dyDescent="0.4">
      <c r="A35" s="4" t="s">
        <v>31</v>
      </c>
      <c r="B35" s="4" t="s">
        <v>16</v>
      </c>
      <c r="C35" s="5">
        <v>3877</v>
      </c>
      <c r="D35" s="5">
        <v>2093</v>
      </c>
      <c r="E35" s="5">
        <v>1784</v>
      </c>
      <c r="F35" s="6">
        <v>76</v>
      </c>
      <c r="G35" s="5">
        <v>1708</v>
      </c>
      <c r="H35" s="6">
        <v>684</v>
      </c>
      <c r="I35" s="5">
        <v>1024</v>
      </c>
      <c r="J35" s="85">
        <f t="shared" si="0"/>
        <v>-340</v>
      </c>
      <c r="K35" s="33">
        <f t="shared" si="1"/>
        <v>0.40046838407494145</v>
      </c>
      <c r="L35" s="33">
        <f t="shared" si="2"/>
        <v>0.59953161592505855</v>
      </c>
      <c r="M35" s="87">
        <f t="shared" si="3"/>
        <v>-0.19906323185011709</v>
      </c>
    </row>
    <row r="36" spans="1:13" s="29" customFormat="1" ht="15.6" customHeight="1" x14ac:dyDescent="0.4">
      <c r="A36" s="7" t="s">
        <v>32</v>
      </c>
      <c r="B36" s="7" t="s">
        <v>11</v>
      </c>
      <c r="C36" s="5">
        <v>14333</v>
      </c>
      <c r="D36" s="5">
        <v>6423</v>
      </c>
      <c r="E36" s="5">
        <v>7910</v>
      </c>
      <c r="F36" s="6">
        <v>190</v>
      </c>
      <c r="G36" s="8">
        <v>7720</v>
      </c>
      <c r="H36" s="9">
        <v>4005</v>
      </c>
      <c r="I36" s="8">
        <v>3715</v>
      </c>
      <c r="J36" s="81">
        <f t="shared" si="0"/>
        <v>290</v>
      </c>
      <c r="K36" s="35">
        <f t="shared" si="1"/>
        <v>0.51878238341968907</v>
      </c>
      <c r="L36" s="32">
        <f t="shared" si="2"/>
        <v>0.48121761658031087</v>
      </c>
      <c r="M36" s="82">
        <f t="shared" si="3"/>
        <v>3.7564766839378205E-2</v>
      </c>
    </row>
    <row r="37" spans="1:13" ht="15.6" customHeight="1" x14ac:dyDescent="0.4">
      <c r="A37" s="4" t="s">
        <v>32</v>
      </c>
      <c r="B37" s="4" t="s">
        <v>15</v>
      </c>
      <c r="C37" s="5">
        <v>2507</v>
      </c>
      <c r="D37" s="6">
        <v>4</v>
      </c>
      <c r="E37" s="5">
        <v>2503</v>
      </c>
      <c r="F37" s="6">
        <v>48</v>
      </c>
      <c r="G37" s="5">
        <v>2455</v>
      </c>
      <c r="H37" s="5">
        <v>1700</v>
      </c>
      <c r="I37" s="6">
        <v>755</v>
      </c>
      <c r="J37" s="85">
        <f t="shared" si="0"/>
        <v>945</v>
      </c>
      <c r="K37" s="33">
        <f t="shared" si="1"/>
        <v>0.6924643584521385</v>
      </c>
      <c r="L37" s="33">
        <f t="shared" si="2"/>
        <v>0.3075356415478615</v>
      </c>
      <c r="M37" s="87">
        <f t="shared" si="3"/>
        <v>0.38492871690427699</v>
      </c>
    </row>
    <row r="38" spans="1:13" ht="15.6" customHeight="1" x14ac:dyDescent="0.4">
      <c r="A38" s="4" t="s">
        <v>32</v>
      </c>
      <c r="B38" s="4" t="s">
        <v>16</v>
      </c>
      <c r="C38" s="5">
        <v>11826</v>
      </c>
      <c r="D38" s="5">
        <v>6419</v>
      </c>
      <c r="E38" s="5">
        <v>5407</v>
      </c>
      <c r="F38" s="6">
        <v>142</v>
      </c>
      <c r="G38" s="5">
        <v>5265</v>
      </c>
      <c r="H38" s="5">
        <v>2305</v>
      </c>
      <c r="I38" s="5">
        <v>2960</v>
      </c>
      <c r="J38" s="85">
        <f t="shared" si="0"/>
        <v>-655</v>
      </c>
      <c r="K38" s="33">
        <f t="shared" si="1"/>
        <v>0.43779677113010446</v>
      </c>
      <c r="L38" s="33">
        <f t="shared" si="2"/>
        <v>0.56220322886989549</v>
      </c>
      <c r="M38" s="87">
        <f t="shared" si="3"/>
        <v>-0.12440645773979103</v>
      </c>
    </row>
    <row r="39" spans="1:13" s="29" customFormat="1" ht="15.6" customHeight="1" x14ac:dyDescent="0.4">
      <c r="A39" s="7" t="s">
        <v>33</v>
      </c>
      <c r="B39" s="7" t="s">
        <v>11</v>
      </c>
      <c r="C39" s="5">
        <v>13425</v>
      </c>
      <c r="D39" s="5">
        <v>5794</v>
      </c>
      <c r="E39" s="5">
        <v>7631</v>
      </c>
      <c r="F39" s="6">
        <v>148</v>
      </c>
      <c r="G39" s="8">
        <v>7483</v>
      </c>
      <c r="H39" s="9">
        <v>3807</v>
      </c>
      <c r="I39" s="8">
        <v>3676</v>
      </c>
      <c r="J39" s="81">
        <f t="shared" si="0"/>
        <v>131</v>
      </c>
      <c r="K39" s="35">
        <f t="shared" si="1"/>
        <v>0.50875317386075103</v>
      </c>
      <c r="L39" s="32">
        <f t="shared" si="2"/>
        <v>0.49124682613924897</v>
      </c>
      <c r="M39" s="82">
        <f t="shared" si="3"/>
        <v>1.7506347721502058E-2</v>
      </c>
    </row>
    <row r="40" spans="1:13" ht="15.6" customHeight="1" x14ac:dyDescent="0.4">
      <c r="A40" s="4" t="s">
        <v>33</v>
      </c>
      <c r="B40" s="4" t="s">
        <v>15</v>
      </c>
      <c r="C40" s="5">
        <v>2727</v>
      </c>
      <c r="D40" s="6">
        <v>2</v>
      </c>
      <c r="E40" s="5">
        <v>2725</v>
      </c>
      <c r="F40" s="6">
        <v>39</v>
      </c>
      <c r="G40" s="5">
        <v>2686</v>
      </c>
      <c r="H40" s="5">
        <v>1767</v>
      </c>
      <c r="I40" s="6">
        <v>919</v>
      </c>
      <c r="J40" s="85">
        <f t="shared" si="0"/>
        <v>848</v>
      </c>
      <c r="K40" s="33">
        <f t="shared" si="1"/>
        <v>0.65785554728220397</v>
      </c>
      <c r="L40" s="33">
        <f t="shared" si="2"/>
        <v>0.34214445271779598</v>
      </c>
      <c r="M40" s="87">
        <f t="shared" si="3"/>
        <v>0.31571109456440799</v>
      </c>
    </row>
    <row r="41" spans="1:13" ht="15.6" customHeight="1" x14ac:dyDescent="0.4">
      <c r="A41" s="4" t="s">
        <v>33</v>
      </c>
      <c r="B41" s="4" t="s">
        <v>16</v>
      </c>
      <c r="C41" s="5">
        <v>10698</v>
      </c>
      <c r="D41" s="5">
        <v>5792</v>
      </c>
      <c r="E41" s="5">
        <v>4906</v>
      </c>
      <c r="F41" s="6">
        <v>109</v>
      </c>
      <c r="G41" s="5">
        <v>4797</v>
      </c>
      <c r="H41" s="5">
        <v>2040</v>
      </c>
      <c r="I41" s="5">
        <v>2757</v>
      </c>
      <c r="J41" s="85">
        <f t="shared" si="0"/>
        <v>-717</v>
      </c>
      <c r="K41" s="33">
        <f t="shared" si="1"/>
        <v>0.42526579111944968</v>
      </c>
      <c r="L41" s="33">
        <f t="shared" si="2"/>
        <v>0.57473420888055038</v>
      </c>
      <c r="M41" s="87">
        <f t="shared" si="3"/>
        <v>-0.1494684177611007</v>
      </c>
    </row>
    <row r="42" spans="1:13" s="29" customFormat="1" ht="15.6" customHeight="1" x14ac:dyDescent="0.4">
      <c r="A42" s="7" t="s">
        <v>34</v>
      </c>
      <c r="B42" s="7" t="s">
        <v>11</v>
      </c>
      <c r="C42" s="5">
        <v>6768</v>
      </c>
      <c r="D42" s="5">
        <v>3071</v>
      </c>
      <c r="E42" s="5">
        <v>3697</v>
      </c>
      <c r="F42" s="6">
        <v>92</v>
      </c>
      <c r="G42" s="8">
        <v>3605</v>
      </c>
      <c r="H42" s="8">
        <v>1670</v>
      </c>
      <c r="I42" s="12">
        <v>1935</v>
      </c>
      <c r="J42" s="83">
        <f t="shared" si="0"/>
        <v>-265</v>
      </c>
      <c r="K42" s="32">
        <f t="shared" si="1"/>
        <v>0.46324549237170598</v>
      </c>
      <c r="L42" s="37">
        <f t="shared" si="2"/>
        <v>0.53675450762829402</v>
      </c>
      <c r="M42" s="84">
        <f t="shared" si="3"/>
        <v>-7.3509015256588039E-2</v>
      </c>
    </row>
    <row r="43" spans="1:13" ht="15.6" customHeight="1" x14ac:dyDescent="0.4">
      <c r="A43" s="4" t="s">
        <v>34</v>
      </c>
      <c r="B43" s="4" t="s">
        <v>15</v>
      </c>
      <c r="C43" s="5">
        <v>1068</v>
      </c>
      <c r="D43" s="6">
        <v>0</v>
      </c>
      <c r="E43" s="5">
        <v>1068</v>
      </c>
      <c r="F43" s="6">
        <v>23</v>
      </c>
      <c r="G43" s="5">
        <v>1045</v>
      </c>
      <c r="H43" s="6">
        <v>668</v>
      </c>
      <c r="I43" s="6">
        <v>377</v>
      </c>
      <c r="J43" s="85">
        <f t="shared" si="0"/>
        <v>291</v>
      </c>
      <c r="K43" s="33">
        <f t="shared" si="1"/>
        <v>0.6392344497607656</v>
      </c>
      <c r="L43" s="33">
        <f t="shared" si="2"/>
        <v>0.36076555023923446</v>
      </c>
      <c r="M43" s="87">
        <f t="shared" si="3"/>
        <v>0.27846889952153114</v>
      </c>
    </row>
    <row r="44" spans="1:13" ht="15.6" customHeight="1" x14ac:dyDescent="0.4">
      <c r="A44" s="4" t="s">
        <v>34</v>
      </c>
      <c r="B44" s="4" t="s">
        <v>16</v>
      </c>
      <c r="C44" s="5">
        <v>5700</v>
      </c>
      <c r="D44" s="5">
        <v>3071</v>
      </c>
      <c r="E44" s="5">
        <v>2629</v>
      </c>
      <c r="F44" s="6">
        <v>69</v>
      </c>
      <c r="G44" s="5">
        <v>2560</v>
      </c>
      <c r="H44" s="5">
        <v>1002</v>
      </c>
      <c r="I44" s="5">
        <v>1558</v>
      </c>
      <c r="J44" s="85">
        <f t="shared" si="0"/>
        <v>-556</v>
      </c>
      <c r="K44" s="33">
        <f t="shared" si="1"/>
        <v>0.39140625000000001</v>
      </c>
      <c r="L44" s="33">
        <f t="shared" si="2"/>
        <v>0.60859375000000004</v>
      </c>
      <c r="M44" s="87">
        <f t="shared" si="3"/>
        <v>-0.21718750000000003</v>
      </c>
    </row>
    <row r="45" spans="1:13" s="29" customFormat="1" ht="15.6" customHeight="1" x14ac:dyDescent="0.4">
      <c r="A45" s="7" t="s">
        <v>35</v>
      </c>
      <c r="B45" s="7" t="s">
        <v>11</v>
      </c>
      <c r="C45" s="5">
        <v>13312</v>
      </c>
      <c r="D45" s="5">
        <v>5757</v>
      </c>
      <c r="E45" s="5">
        <v>7555</v>
      </c>
      <c r="F45" s="6">
        <v>187</v>
      </c>
      <c r="G45" s="8">
        <v>7368</v>
      </c>
      <c r="H45" s="9">
        <v>3918</v>
      </c>
      <c r="I45" s="8">
        <v>3450</v>
      </c>
      <c r="J45" s="81">
        <f t="shared" si="0"/>
        <v>468</v>
      </c>
      <c r="K45" s="35">
        <f t="shared" si="1"/>
        <v>0.53175895765472314</v>
      </c>
      <c r="L45" s="32">
        <f t="shared" si="2"/>
        <v>0.46824104234527686</v>
      </c>
      <c r="M45" s="82">
        <f t="shared" si="3"/>
        <v>6.3517915309446282E-2</v>
      </c>
    </row>
    <row r="46" spans="1:13" ht="15.6" customHeight="1" x14ac:dyDescent="0.4">
      <c r="A46" s="4" t="s">
        <v>35</v>
      </c>
      <c r="B46" s="4" t="s">
        <v>15</v>
      </c>
      <c r="C46" s="5">
        <v>2686</v>
      </c>
      <c r="D46" s="6">
        <v>0</v>
      </c>
      <c r="E46" s="5">
        <v>2686</v>
      </c>
      <c r="F46" s="6">
        <v>35</v>
      </c>
      <c r="G46" s="5">
        <v>2651</v>
      </c>
      <c r="H46" s="5">
        <v>1795</v>
      </c>
      <c r="I46" s="6">
        <v>856</v>
      </c>
      <c r="J46" s="85">
        <f t="shared" si="0"/>
        <v>939</v>
      </c>
      <c r="K46" s="33">
        <f t="shared" si="1"/>
        <v>0.67710298000754432</v>
      </c>
      <c r="L46" s="33">
        <f t="shared" si="2"/>
        <v>0.32289701999245568</v>
      </c>
      <c r="M46" s="87">
        <f t="shared" si="3"/>
        <v>0.35420596001508864</v>
      </c>
    </row>
    <row r="47" spans="1:13" ht="15.6" customHeight="1" x14ac:dyDescent="0.4">
      <c r="A47" s="4" t="s">
        <v>35</v>
      </c>
      <c r="B47" s="4" t="s">
        <v>16</v>
      </c>
      <c r="C47" s="5">
        <v>10626</v>
      </c>
      <c r="D47" s="5">
        <v>5757</v>
      </c>
      <c r="E47" s="5">
        <v>4869</v>
      </c>
      <c r="F47" s="6">
        <v>152</v>
      </c>
      <c r="G47" s="5">
        <v>4717</v>
      </c>
      <c r="H47" s="5">
        <v>2123</v>
      </c>
      <c r="I47" s="5">
        <v>2594</v>
      </c>
      <c r="J47" s="85">
        <f t="shared" si="0"/>
        <v>-471</v>
      </c>
      <c r="K47" s="33">
        <f t="shared" si="1"/>
        <v>0.45007419970320117</v>
      </c>
      <c r="L47" s="33">
        <f t="shared" si="2"/>
        <v>0.54992580029679883</v>
      </c>
      <c r="M47" s="87">
        <f t="shared" si="3"/>
        <v>-9.9851600593597656E-2</v>
      </c>
    </row>
    <row r="48" spans="1:13" s="29" customFormat="1" ht="15.6" customHeight="1" x14ac:dyDescent="0.4">
      <c r="A48" s="7" t="s">
        <v>36</v>
      </c>
      <c r="B48" s="7" t="s">
        <v>11</v>
      </c>
      <c r="C48" s="5">
        <v>25327</v>
      </c>
      <c r="D48" s="5">
        <v>11006</v>
      </c>
      <c r="E48" s="5">
        <v>14321</v>
      </c>
      <c r="F48" s="6">
        <v>269</v>
      </c>
      <c r="G48" s="8">
        <v>14052</v>
      </c>
      <c r="H48" s="9">
        <v>8035</v>
      </c>
      <c r="I48" s="8">
        <v>6017</v>
      </c>
      <c r="J48" s="81">
        <f t="shared" si="0"/>
        <v>2018</v>
      </c>
      <c r="K48" s="35">
        <f t="shared" si="1"/>
        <v>0.57180472530600623</v>
      </c>
      <c r="L48" s="32">
        <f t="shared" si="2"/>
        <v>0.42819527469399371</v>
      </c>
      <c r="M48" s="82">
        <f t="shared" si="3"/>
        <v>0.14360945061201252</v>
      </c>
    </row>
    <row r="49" spans="1:13" ht="15.6" customHeight="1" x14ac:dyDescent="0.4">
      <c r="A49" s="4" t="s">
        <v>36</v>
      </c>
      <c r="B49" s="4" t="s">
        <v>15</v>
      </c>
      <c r="C49" s="5">
        <v>4072</v>
      </c>
      <c r="D49" s="6">
        <v>2</v>
      </c>
      <c r="E49" s="5">
        <v>4070</v>
      </c>
      <c r="F49" s="6">
        <v>49</v>
      </c>
      <c r="G49" s="5">
        <v>4021</v>
      </c>
      <c r="H49" s="5">
        <v>2879</v>
      </c>
      <c r="I49" s="5">
        <v>1142</v>
      </c>
      <c r="J49" s="85">
        <f t="shared" si="0"/>
        <v>1737</v>
      </c>
      <c r="K49" s="33">
        <f t="shared" si="1"/>
        <v>0.71599104700323302</v>
      </c>
      <c r="L49" s="33">
        <f t="shared" si="2"/>
        <v>0.28400895299676698</v>
      </c>
      <c r="M49" s="87">
        <f t="shared" si="3"/>
        <v>0.43198209400646603</v>
      </c>
    </row>
    <row r="50" spans="1:13" ht="15.6" customHeight="1" x14ac:dyDescent="0.4">
      <c r="A50" s="4" t="s">
        <v>36</v>
      </c>
      <c r="B50" s="4" t="s">
        <v>16</v>
      </c>
      <c r="C50" s="5">
        <v>21255</v>
      </c>
      <c r="D50" s="5">
        <v>11004</v>
      </c>
      <c r="E50" s="5">
        <v>10251</v>
      </c>
      <c r="F50" s="6">
        <v>220</v>
      </c>
      <c r="G50" s="5">
        <v>10031</v>
      </c>
      <c r="H50" s="5">
        <v>5156</v>
      </c>
      <c r="I50" s="5">
        <v>4875</v>
      </c>
      <c r="J50" s="85">
        <f t="shared" si="0"/>
        <v>281</v>
      </c>
      <c r="K50" s="33">
        <f t="shared" si="1"/>
        <v>0.51400657960323004</v>
      </c>
      <c r="L50" s="33">
        <f t="shared" si="2"/>
        <v>0.48599342039677002</v>
      </c>
      <c r="M50" s="87">
        <f t="shared" si="3"/>
        <v>2.8013159206460025E-2</v>
      </c>
    </row>
    <row r="51" spans="1:13" ht="15.6" customHeight="1" x14ac:dyDescent="0.4">
      <c r="A51" s="4" t="s">
        <v>17</v>
      </c>
      <c r="B51" s="4"/>
      <c r="C51" s="6">
        <v>0</v>
      </c>
      <c r="D51" s="6">
        <v>-80</v>
      </c>
      <c r="E51" s="6">
        <v>80</v>
      </c>
      <c r="F51" s="6">
        <v>7</v>
      </c>
      <c r="G51" s="6">
        <v>73</v>
      </c>
      <c r="H51" s="6">
        <v>39</v>
      </c>
      <c r="I51" s="6">
        <v>34</v>
      </c>
      <c r="J51" s="86"/>
      <c r="K51" s="33"/>
      <c r="L51" s="33"/>
      <c r="M51" s="87"/>
    </row>
  </sheetData>
  <mergeCells count="8">
    <mergeCell ref="K1:M1"/>
    <mergeCell ref="A1:A2"/>
    <mergeCell ref="B1:B2"/>
    <mergeCell ref="C1:C2"/>
    <mergeCell ref="E1:E2"/>
    <mergeCell ref="H1:J1"/>
    <mergeCell ref="D1:D2"/>
    <mergeCell ref="G1:G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AD1E-A659-4C5F-8C29-BEF0BF9F777C}">
  <dimension ref="A1:Q51"/>
  <sheetViews>
    <sheetView zoomScaleNormal="100" workbookViewId="0">
      <selection activeCell="N10" sqref="N10"/>
    </sheetView>
  </sheetViews>
  <sheetFormatPr defaultRowHeight="17.399999999999999" customHeight="1" x14ac:dyDescent="0.4"/>
  <cols>
    <col min="1" max="12" width="8.796875" style="28"/>
    <col min="13" max="14" width="8.796875" style="31"/>
    <col min="15" max="16384" width="8.796875" style="28"/>
  </cols>
  <sheetData>
    <row r="1" spans="1:17" ht="17.399999999999999" customHeight="1" x14ac:dyDescent="0.4">
      <c r="A1" s="271" t="s">
        <v>0</v>
      </c>
      <c r="B1" s="271" t="s">
        <v>1</v>
      </c>
      <c r="C1" s="271" t="s">
        <v>2</v>
      </c>
      <c r="D1" s="271" t="s">
        <v>6</v>
      </c>
      <c r="E1" s="271" t="s">
        <v>131</v>
      </c>
      <c r="F1" s="3" t="s">
        <v>5</v>
      </c>
      <c r="G1" s="271" t="s">
        <v>132</v>
      </c>
      <c r="H1" s="271" t="s">
        <v>4</v>
      </c>
      <c r="I1" s="271"/>
      <c r="J1" s="271"/>
      <c r="K1" s="271"/>
      <c r="L1" s="271" t="s">
        <v>125</v>
      </c>
      <c r="M1" s="332" t="s">
        <v>88</v>
      </c>
      <c r="N1" s="332"/>
      <c r="O1" s="332"/>
    </row>
    <row r="2" spans="1:17" ht="17.399999999999999" customHeight="1" x14ac:dyDescent="0.4">
      <c r="A2" s="271"/>
      <c r="B2" s="271"/>
      <c r="C2" s="271"/>
      <c r="D2" s="271"/>
      <c r="E2" s="271"/>
      <c r="F2" s="3" t="s">
        <v>3</v>
      </c>
      <c r="G2" s="271"/>
      <c r="H2" s="3" t="s">
        <v>7</v>
      </c>
      <c r="I2" s="3" t="s">
        <v>8</v>
      </c>
      <c r="J2" s="3" t="s">
        <v>9</v>
      </c>
      <c r="K2" s="3" t="s">
        <v>10</v>
      </c>
      <c r="L2" s="271"/>
      <c r="M2" s="21" t="s">
        <v>126</v>
      </c>
      <c r="N2" s="21" t="s">
        <v>127</v>
      </c>
      <c r="O2" s="21" t="s">
        <v>101</v>
      </c>
    </row>
    <row r="3" spans="1:17" s="29" customFormat="1" ht="17.399999999999999" customHeight="1" x14ac:dyDescent="0.4">
      <c r="A3" s="7" t="s">
        <v>12</v>
      </c>
      <c r="B3" s="7"/>
      <c r="C3" s="5">
        <v>148383</v>
      </c>
      <c r="D3" s="5">
        <v>59568</v>
      </c>
      <c r="E3" s="5">
        <v>88815</v>
      </c>
      <c r="F3" s="5">
        <v>4824</v>
      </c>
      <c r="G3" s="8">
        <v>83991</v>
      </c>
      <c r="H3" s="8">
        <v>23072</v>
      </c>
      <c r="I3" s="12">
        <v>23576</v>
      </c>
      <c r="J3" s="8">
        <v>15596</v>
      </c>
      <c r="K3" s="8">
        <v>21747</v>
      </c>
      <c r="L3" s="99">
        <f>(H3+J3)-(I3+K3)</f>
        <v>-6655</v>
      </c>
      <c r="M3" s="32">
        <f>(H3+J3)/G3</f>
        <v>0.46038266004690981</v>
      </c>
      <c r="N3" s="37">
        <f>(I3+K3)/G3</f>
        <v>0.53961733995309025</v>
      </c>
      <c r="O3" s="84">
        <f>M3-N3</f>
        <v>-7.9234679906180439E-2</v>
      </c>
    </row>
    <row r="4" spans="1:17" s="29" customFormat="1" ht="17.399999999999999" customHeight="1" x14ac:dyDescent="0.4">
      <c r="A4" s="7" t="s">
        <v>13</v>
      </c>
      <c r="B4" s="7"/>
      <c r="C4" s="6">
        <v>311</v>
      </c>
      <c r="D4" s="6">
        <v>28</v>
      </c>
      <c r="E4" s="6">
        <v>283</v>
      </c>
      <c r="F4" s="6">
        <v>16</v>
      </c>
      <c r="G4" s="10">
        <v>267</v>
      </c>
      <c r="H4" s="10">
        <v>53</v>
      </c>
      <c r="I4" s="11">
        <v>84</v>
      </c>
      <c r="J4" s="10">
        <v>65</v>
      </c>
      <c r="K4" s="10">
        <v>65</v>
      </c>
      <c r="L4" s="99">
        <f t="shared" ref="L4:L50" si="0">(H4+J4)-(I4+K4)</f>
        <v>-31</v>
      </c>
      <c r="M4" s="32">
        <f t="shared" ref="M4:M50" si="1">(H4+J4)/G4</f>
        <v>0.44194756554307119</v>
      </c>
      <c r="N4" s="37">
        <f t="shared" ref="N4:N50" si="2">(I4+K4)/G4</f>
        <v>0.55805243445692887</v>
      </c>
      <c r="O4" s="84">
        <f t="shared" ref="O4:O50" si="3">M4-N4</f>
        <v>-0.11610486891385768</v>
      </c>
    </row>
    <row r="5" spans="1:17" s="29" customFormat="1" ht="17.399999999999999" customHeight="1" x14ac:dyDescent="0.4">
      <c r="A5" s="7" t="s">
        <v>14</v>
      </c>
      <c r="B5" s="7"/>
      <c r="C5" s="5">
        <v>10035</v>
      </c>
      <c r="D5" s="6">
        <v>4</v>
      </c>
      <c r="E5" s="5">
        <v>10031</v>
      </c>
      <c r="F5" s="6">
        <v>528</v>
      </c>
      <c r="G5" s="8">
        <v>9503</v>
      </c>
      <c r="H5" s="9">
        <v>3115</v>
      </c>
      <c r="I5" s="8">
        <v>2485</v>
      </c>
      <c r="J5" s="8">
        <v>1796</v>
      </c>
      <c r="K5" s="8">
        <v>2107</v>
      </c>
      <c r="L5" s="97">
        <f t="shared" si="0"/>
        <v>319</v>
      </c>
      <c r="M5" s="35">
        <f t="shared" si="1"/>
        <v>0.51678417341892036</v>
      </c>
      <c r="N5" s="32">
        <f t="shared" si="2"/>
        <v>0.48321582658107964</v>
      </c>
      <c r="O5" s="82">
        <f t="shared" si="3"/>
        <v>3.3568346837840712E-2</v>
      </c>
    </row>
    <row r="6" spans="1:17" s="29" customFormat="1" ht="17.399999999999999" customHeight="1" x14ac:dyDescent="0.4">
      <c r="A6" s="7" t="s">
        <v>22</v>
      </c>
      <c r="B6" s="7" t="s">
        <v>11</v>
      </c>
      <c r="C6" s="5">
        <v>10344</v>
      </c>
      <c r="D6" s="5">
        <v>4611</v>
      </c>
      <c r="E6" s="5">
        <v>5733</v>
      </c>
      <c r="F6" s="6">
        <v>354</v>
      </c>
      <c r="G6" s="8">
        <v>5379</v>
      </c>
      <c r="H6" s="8">
        <v>1014</v>
      </c>
      <c r="I6" s="12">
        <v>2216</v>
      </c>
      <c r="J6" s="8">
        <v>1222</v>
      </c>
      <c r="K6" s="10">
        <v>927</v>
      </c>
      <c r="L6" s="99">
        <f t="shared" si="0"/>
        <v>-907</v>
      </c>
      <c r="M6" s="32">
        <f t="shared" si="1"/>
        <v>0.4156906488194832</v>
      </c>
      <c r="N6" s="37">
        <f t="shared" si="2"/>
        <v>0.58430935118051686</v>
      </c>
      <c r="O6" s="84">
        <f t="shared" si="3"/>
        <v>-0.16861870236103366</v>
      </c>
    </row>
    <row r="7" spans="1:17" ht="17.399999999999999" customHeight="1" x14ac:dyDescent="0.4">
      <c r="A7" s="4" t="s">
        <v>22</v>
      </c>
      <c r="B7" s="4" t="s">
        <v>15</v>
      </c>
      <c r="C7" s="5">
        <v>2114</v>
      </c>
      <c r="D7" s="6">
        <v>0</v>
      </c>
      <c r="E7" s="5">
        <v>2114</v>
      </c>
      <c r="F7" s="6">
        <v>129</v>
      </c>
      <c r="G7" s="5">
        <v>1985</v>
      </c>
      <c r="H7" s="6">
        <v>452</v>
      </c>
      <c r="I7" s="6">
        <v>861</v>
      </c>
      <c r="J7" s="6">
        <v>426</v>
      </c>
      <c r="K7" s="6">
        <v>246</v>
      </c>
      <c r="L7" s="98">
        <f t="shared" si="0"/>
        <v>-229</v>
      </c>
      <c r="M7" s="33">
        <f t="shared" si="1"/>
        <v>0.44231738035264484</v>
      </c>
      <c r="N7" s="33">
        <f t="shared" si="2"/>
        <v>0.55768261964735522</v>
      </c>
      <c r="O7" s="87">
        <f t="shared" si="3"/>
        <v>-0.11536523929471038</v>
      </c>
    </row>
    <row r="8" spans="1:17" ht="17.399999999999999" customHeight="1" x14ac:dyDescent="0.4">
      <c r="A8" s="4" t="s">
        <v>22</v>
      </c>
      <c r="B8" s="4" t="s">
        <v>16</v>
      </c>
      <c r="C8" s="5">
        <v>8230</v>
      </c>
      <c r="D8" s="5">
        <v>4611</v>
      </c>
      <c r="E8" s="5">
        <v>3619</v>
      </c>
      <c r="F8" s="6">
        <v>225</v>
      </c>
      <c r="G8" s="5">
        <v>3394</v>
      </c>
      <c r="H8" s="6">
        <v>562</v>
      </c>
      <c r="I8" s="5">
        <v>1355</v>
      </c>
      <c r="J8" s="6">
        <v>796</v>
      </c>
      <c r="K8" s="6">
        <v>681</v>
      </c>
      <c r="L8" s="98">
        <f t="shared" si="0"/>
        <v>-678</v>
      </c>
      <c r="M8" s="33">
        <f t="shared" si="1"/>
        <v>0.40011785503830288</v>
      </c>
      <c r="N8" s="33">
        <f t="shared" si="2"/>
        <v>0.59988214496169712</v>
      </c>
      <c r="O8" s="87">
        <f t="shared" si="3"/>
        <v>-0.19976428992339423</v>
      </c>
      <c r="P8" s="36"/>
    </row>
    <row r="9" spans="1:17" s="29" customFormat="1" ht="17.399999999999999" customHeight="1" x14ac:dyDescent="0.4">
      <c r="A9" s="7" t="s">
        <v>23</v>
      </c>
      <c r="B9" s="7" t="s">
        <v>11</v>
      </c>
      <c r="C9" s="5">
        <v>5911</v>
      </c>
      <c r="D9" s="5">
        <v>2227</v>
      </c>
      <c r="E9" s="5">
        <v>3684</v>
      </c>
      <c r="F9" s="6">
        <v>230</v>
      </c>
      <c r="G9" s="8">
        <v>3454</v>
      </c>
      <c r="H9" s="10">
        <v>717</v>
      </c>
      <c r="I9" s="10">
        <v>882</v>
      </c>
      <c r="J9" s="10">
        <v>860</v>
      </c>
      <c r="K9" s="11">
        <v>995</v>
      </c>
      <c r="L9" s="99">
        <f t="shared" si="0"/>
        <v>-300</v>
      </c>
      <c r="M9" s="32">
        <f t="shared" si="1"/>
        <v>0.45657209033005214</v>
      </c>
      <c r="N9" s="37">
        <f t="shared" si="2"/>
        <v>0.54342790966994792</v>
      </c>
      <c r="O9" s="84">
        <f t="shared" si="3"/>
        <v>-8.6855819339895779E-2</v>
      </c>
    </row>
    <row r="10" spans="1:17" ht="17.399999999999999" customHeight="1" x14ac:dyDescent="0.4">
      <c r="A10" s="4" t="s">
        <v>23</v>
      </c>
      <c r="B10" s="4" t="s">
        <v>15</v>
      </c>
      <c r="C10" s="5">
        <v>1424</v>
      </c>
      <c r="D10" s="6">
        <v>0</v>
      </c>
      <c r="E10" s="5">
        <v>1424</v>
      </c>
      <c r="F10" s="6">
        <v>86</v>
      </c>
      <c r="G10" s="5">
        <v>1338</v>
      </c>
      <c r="H10" s="6">
        <v>346</v>
      </c>
      <c r="I10" s="6">
        <v>316</v>
      </c>
      <c r="J10" s="6">
        <v>397</v>
      </c>
      <c r="K10" s="6">
        <v>279</v>
      </c>
      <c r="L10" s="98">
        <f t="shared" si="0"/>
        <v>148</v>
      </c>
      <c r="M10" s="33">
        <f t="shared" si="1"/>
        <v>0.55530642750373693</v>
      </c>
      <c r="N10" s="33">
        <f t="shared" si="2"/>
        <v>0.44469357249626307</v>
      </c>
      <c r="O10" s="87">
        <f t="shared" si="3"/>
        <v>0.11061285500747386</v>
      </c>
    </row>
    <row r="11" spans="1:17" ht="17.399999999999999" customHeight="1" x14ac:dyDescent="0.4">
      <c r="A11" s="4" t="s">
        <v>23</v>
      </c>
      <c r="B11" s="4" t="s">
        <v>16</v>
      </c>
      <c r="C11" s="5">
        <v>4487</v>
      </c>
      <c r="D11" s="5">
        <v>2227</v>
      </c>
      <c r="E11" s="5">
        <v>2260</v>
      </c>
      <c r="F11" s="6">
        <v>144</v>
      </c>
      <c r="G11" s="5">
        <v>2116</v>
      </c>
      <c r="H11" s="6">
        <v>371</v>
      </c>
      <c r="I11" s="6">
        <v>566</v>
      </c>
      <c r="J11" s="6">
        <v>463</v>
      </c>
      <c r="K11" s="6">
        <v>716</v>
      </c>
      <c r="L11" s="98">
        <f t="shared" si="0"/>
        <v>-448</v>
      </c>
      <c r="M11" s="33">
        <f t="shared" si="1"/>
        <v>0.39413988657844989</v>
      </c>
      <c r="N11" s="33">
        <f t="shared" si="2"/>
        <v>0.60586011342155011</v>
      </c>
      <c r="O11" s="87">
        <f t="shared" si="3"/>
        <v>-0.21172022684310021</v>
      </c>
    </row>
    <row r="12" spans="1:17" s="29" customFormat="1" ht="17.399999999999999" customHeight="1" x14ac:dyDescent="0.4">
      <c r="A12" s="7" t="s">
        <v>24</v>
      </c>
      <c r="B12" s="7" t="s">
        <v>11</v>
      </c>
      <c r="C12" s="5">
        <v>4473</v>
      </c>
      <c r="D12" s="5">
        <v>1805</v>
      </c>
      <c r="E12" s="5">
        <v>2668</v>
      </c>
      <c r="F12" s="6">
        <v>219</v>
      </c>
      <c r="G12" s="8">
        <v>2449</v>
      </c>
      <c r="H12" s="10">
        <v>437</v>
      </c>
      <c r="I12" s="10">
        <v>678</v>
      </c>
      <c r="J12" s="10">
        <v>518</v>
      </c>
      <c r="K12" s="11">
        <v>816</v>
      </c>
      <c r="L12" s="99">
        <f t="shared" si="0"/>
        <v>-539</v>
      </c>
      <c r="M12" s="32">
        <f t="shared" si="1"/>
        <v>0.38995508370763576</v>
      </c>
      <c r="N12" s="37">
        <f t="shared" si="2"/>
        <v>0.61004491629236424</v>
      </c>
      <c r="O12" s="84">
        <f t="shared" si="3"/>
        <v>-0.22008983258472847</v>
      </c>
    </row>
    <row r="13" spans="1:17" ht="17.399999999999999" customHeight="1" x14ac:dyDescent="0.4">
      <c r="A13" s="4" t="s">
        <v>24</v>
      </c>
      <c r="B13" s="4" t="s">
        <v>15</v>
      </c>
      <c r="C13" s="6">
        <v>829</v>
      </c>
      <c r="D13" s="6">
        <v>0</v>
      </c>
      <c r="E13" s="6">
        <v>829</v>
      </c>
      <c r="F13" s="6">
        <v>81</v>
      </c>
      <c r="G13" s="6">
        <v>748</v>
      </c>
      <c r="H13" s="6">
        <v>155</v>
      </c>
      <c r="I13" s="6">
        <v>206</v>
      </c>
      <c r="J13" s="6">
        <v>197</v>
      </c>
      <c r="K13" s="6">
        <v>190</v>
      </c>
      <c r="L13" s="98">
        <f t="shared" si="0"/>
        <v>-44</v>
      </c>
      <c r="M13" s="33">
        <f t="shared" si="1"/>
        <v>0.47058823529411764</v>
      </c>
      <c r="N13" s="33">
        <f t="shared" si="2"/>
        <v>0.52941176470588236</v>
      </c>
      <c r="O13" s="87">
        <f t="shared" si="3"/>
        <v>-5.8823529411764719E-2</v>
      </c>
    </row>
    <row r="14" spans="1:17" ht="17.399999999999999" customHeight="1" x14ac:dyDescent="0.4">
      <c r="A14" s="4" t="s">
        <v>24</v>
      </c>
      <c r="B14" s="4" t="s">
        <v>16</v>
      </c>
      <c r="C14" s="5">
        <v>3644</v>
      </c>
      <c r="D14" s="5">
        <v>1805</v>
      </c>
      <c r="E14" s="5">
        <v>1839</v>
      </c>
      <c r="F14" s="6">
        <v>138</v>
      </c>
      <c r="G14" s="5">
        <v>1701</v>
      </c>
      <c r="H14" s="6">
        <v>282</v>
      </c>
      <c r="I14" s="6">
        <v>472</v>
      </c>
      <c r="J14" s="6">
        <v>321</v>
      </c>
      <c r="K14" s="6">
        <v>626</v>
      </c>
      <c r="L14" s="98">
        <f t="shared" si="0"/>
        <v>-495</v>
      </c>
      <c r="M14" s="33">
        <f t="shared" si="1"/>
        <v>0.35449735449735448</v>
      </c>
      <c r="N14" s="33">
        <f t="shared" si="2"/>
        <v>0.64550264550264547</v>
      </c>
      <c r="O14" s="87">
        <f t="shared" si="3"/>
        <v>-0.29100529100529099</v>
      </c>
      <c r="Q14" s="50"/>
    </row>
    <row r="15" spans="1:17" s="29" customFormat="1" ht="17.399999999999999" customHeight="1" x14ac:dyDescent="0.4">
      <c r="A15" s="7" t="s">
        <v>25</v>
      </c>
      <c r="B15" s="7" t="s">
        <v>11</v>
      </c>
      <c r="C15" s="5">
        <v>2870</v>
      </c>
      <c r="D15" s="5">
        <v>1018</v>
      </c>
      <c r="E15" s="5">
        <v>1852</v>
      </c>
      <c r="F15" s="6">
        <v>162</v>
      </c>
      <c r="G15" s="8">
        <v>1690</v>
      </c>
      <c r="H15" s="10">
        <v>262</v>
      </c>
      <c r="I15" s="10">
        <v>471</v>
      </c>
      <c r="J15" s="10">
        <v>370</v>
      </c>
      <c r="K15" s="11">
        <v>587</v>
      </c>
      <c r="L15" s="99">
        <f t="shared" si="0"/>
        <v>-426</v>
      </c>
      <c r="M15" s="32">
        <f t="shared" si="1"/>
        <v>0.3739644970414201</v>
      </c>
      <c r="N15" s="37">
        <f t="shared" si="2"/>
        <v>0.6260355029585799</v>
      </c>
      <c r="O15" s="84">
        <f t="shared" si="3"/>
        <v>-0.25207100591715981</v>
      </c>
    </row>
    <row r="16" spans="1:17" ht="17.399999999999999" customHeight="1" x14ac:dyDescent="0.4">
      <c r="A16" s="4" t="s">
        <v>25</v>
      </c>
      <c r="B16" s="4" t="s">
        <v>15</v>
      </c>
      <c r="C16" s="6">
        <v>685</v>
      </c>
      <c r="D16" s="6">
        <v>1</v>
      </c>
      <c r="E16" s="6">
        <v>684</v>
      </c>
      <c r="F16" s="6">
        <v>70</v>
      </c>
      <c r="G16" s="6">
        <v>614</v>
      </c>
      <c r="H16" s="6">
        <v>117</v>
      </c>
      <c r="I16" s="6">
        <v>166</v>
      </c>
      <c r="J16" s="6">
        <v>163</v>
      </c>
      <c r="K16" s="6">
        <v>168</v>
      </c>
      <c r="L16" s="98">
        <f t="shared" si="0"/>
        <v>-54</v>
      </c>
      <c r="M16" s="33">
        <f t="shared" si="1"/>
        <v>0.4560260586319218</v>
      </c>
      <c r="N16" s="33">
        <f t="shared" si="2"/>
        <v>0.5439739413680782</v>
      </c>
      <c r="O16" s="87">
        <f t="shared" si="3"/>
        <v>-8.7947882736156391E-2</v>
      </c>
    </row>
    <row r="17" spans="1:15" ht="17.399999999999999" customHeight="1" x14ac:dyDescent="0.4">
      <c r="A17" s="4" t="s">
        <v>25</v>
      </c>
      <c r="B17" s="4" t="s">
        <v>16</v>
      </c>
      <c r="C17" s="5">
        <v>2185</v>
      </c>
      <c r="D17" s="5">
        <v>1017</v>
      </c>
      <c r="E17" s="5">
        <v>1168</v>
      </c>
      <c r="F17" s="6">
        <v>92</v>
      </c>
      <c r="G17" s="5">
        <v>1076</v>
      </c>
      <c r="H17" s="6">
        <v>145</v>
      </c>
      <c r="I17" s="6">
        <v>305</v>
      </c>
      <c r="J17" s="6">
        <v>207</v>
      </c>
      <c r="K17" s="6">
        <v>419</v>
      </c>
      <c r="L17" s="98">
        <f t="shared" si="0"/>
        <v>-372</v>
      </c>
      <c r="M17" s="33">
        <f t="shared" si="1"/>
        <v>0.32713754646840149</v>
      </c>
      <c r="N17" s="33">
        <f t="shared" si="2"/>
        <v>0.67286245353159846</v>
      </c>
      <c r="O17" s="87">
        <f t="shared" si="3"/>
        <v>-0.34572490706319697</v>
      </c>
    </row>
    <row r="18" spans="1:15" s="29" customFormat="1" ht="17.399999999999999" customHeight="1" x14ac:dyDescent="0.4">
      <c r="A18" s="7" t="s">
        <v>26</v>
      </c>
      <c r="B18" s="7" t="s">
        <v>11</v>
      </c>
      <c r="C18" s="8">
        <v>6257</v>
      </c>
      <c r="D18" s="8">
        <v>2685</v>
      </c>
      <c r="E18" s="8">
        <v>3572</v>
      </c>
      <c r="F18" s="10">
        <v>260</v>
      </c>
      <c r="G18" s="8">
        <v>3312</v>
      </c>
      <c r="H18" s="10">
        <v>649</v>
      </c>
      <c r="I18" s="12">
        <v>1327</v>
      </c>
      <c r="J18" s="10">
        <v>710</v>
      </c>
      <c r="K18" s="10">
        <v>626</v>
      </c>
      <c r="L18" s="99">
        <f t="shared" si="0"/>
        <v>-594</v>
      </c>
      <c r="M18" s="32">
        <f t="shared" si="1"/>
        <v>0.41032608695652173</v>
      </c>
      <c r="N18" s="37">
        <f t="shared" si="2"/>
        <v>0.58967391304347827</v>
      </c>
      <c r="O18" s="84">
        <f t="shared" si="3"/>
        <v>-0.17934782608695654</v>
      </c>
    </row>
    <row r="19" spans="1:15" ht="17.399999999999999" customHeight="1" x14ac:dyDescent="0.4">
      <c r="A19" s="4" t="s">
        <v>26</v>
      </c>
      <c r="B19" s="4" t="s">
        <v>15</v>
      </c>
      <c r="C19" s="5">
        <v>1092</v>
      </c>
      <c r="D19" s="6">
        <v>0</v>
      </c>
      <c r="E19" s="5">
        <v>1092</v>
      </c>
      <c r="F19" s="6">
        <v>81</v>
      </c>
      <c r="G19" s="5">
        <v>1011</v>
      </c>
      <c r="H19" s="6">
        <v>230</v>
      </c>
      <c r="I19" s="6">
        <v>419</v>
      </c>
      <c r="J19" s="6">
        <v>198</v>
      </c>
      <c r="K19" s="6">
        <v>164</v>
      </c>
      <c r="L19" s="98">
        <f t="shared" si="0"/>
        <v>-155</v>
      </c>
      <c r="M19" s="33">
        <f t="shared" si="1"/>
        <v>0.42334322453016815</v>
      </c>
      <c r="N19" s="33">
        <f t="shared" si="2"/>
        <v>0.57665677546983185</v>
      </c>
      <c r="O19" s="87">
        <f t="shared" si="3"/>
        <v>-0.1533135509396637</v>
      </c>
    </row>
    <row r="20" spans="1:15" ht="17.399999999999999" customHeight="1" x14ac:dyDescent="0.4">
      <c r="A20" s="4" t="s">
        <v>26</v>
      </c>
      <c r="B20" s="4" t="s">
        <v>16</v>
      </c>
      <c r="C20" s="5">
        <v>5165</v>
      </c>
      <c r="D20" s="5">
        <v>2685</v>
      </c>
      <c r="E20" s="5">
        <v>2480</v>
      </c>
      <c r="F20" s="6">
        <v>179</v>
      </c>
      <c r="G20" s="5">
        <v>2301</v>
      </c>
      <c r="H20" s="6">
        <v>419</v>
      </c>
      <c r="I20" s="6">
        <v>908</v>
      </c>
      <c r="J20" s="6">
        <v>512</v>
      </c>
      <c r="K20" s="6">
        <v>462</v>
      </c>
      <c r="L20" s="98">
        <f t="shared" si="0"/>
        <v>-439</v>
      </c>
      <c r="M20" s="33">
        <f t="shared" si="1"/>
        <v>0.40460669274228594</v>
      </c>
      <c r="N20" s="33">
        <f t="shared" si="2"/>
        <v>0.595393307257714</v>
      </c>
      <c r="O20" s="87">
        <f t="shared" si="3"/>
        <v>-0.19078661451542805</v>
      </c>
    </row>
    <row r="21" spans="1:15" s="29" customFormat="1" ht="17.399999999999999" customHeight="1" x14ac:dyDescent="0.4">
      <c r="A21" s="7" t="s">
        <v>27</v>
      </c>
      <c r="B21" s="7" t="s">
        <v>11</v>
      </c>
      <c r="C21" s="5">
        <v>12092</v>
      </c>
      <c r="D21" s="5">
        <v>5523</v>
      </c>
      <c r="E21" s="5">
        <v>6569</v>
      </c>
      <c r="F21" s="6">
        <v>312</v>
      </c>
      <c r="G21" s="8">
        <v>6257</v>
      </c>
      <c r="H21" s="9">
        <v>2045</v>
      </c>
      <c r="I21" s="8">
        <v>1324</v>
      </c>
      <c r="J21" s="10">
        <v>884</v>
      </c>
      <c r="K21" s="8">
        <v>2004</v>
      </c>
      <c r="L21" s="99">
        <f t="shared" si="0"/>
        <v>-399</v>
      </c>
      <c r="M21" s="32">
        <f t="shared" si="1"/>
        <v>0.46811571040434713</v>
      </c>
      <c r="N21" s="37">
        <f t="shared" si="2"/>
        <v>0.53188428959565281</v>
      </c>
      <c r="O21" s="84">
        <f t="shared" si="3"/>
        <v>-6.3768579191305685E-2</v>
      </c>
    </row>
    <row r="22" spans="1:15" ht="17.399999999999999" customHeight="1" x14ac:dyDescent="0.4">
      <c r="A22" s="4" t="s">
        <v>27</v>
      </c>
      <c r="B22" s="4" t="s">
        <v>15</v>
      </c>
      <c r="C22" s="5">
        <v>2354</v>
      </c>
      <c r="D22" s="6">
        <v>0</v>
      </c>
      <c r="E22" s="5">
        <v>2354</v>
      </c>
      <c r="F22" s="6">
        <v>102</v>
      </c>
      <c r="G22" s="5">
        <v>2252</v>
      </c>
      <c r="H22" s="6">
        <v>758</v>
      </c>
      <c r="I22" s="6">
        <v>430</v>
      </c>
      <c r="J22" s="6">
        <v>397</v>
      </c>
      <c r="K22" s="6">
        <v>667</v>
      </c>
      <c r="L22" s="98">
        <f t="shared" si="0"/>
        <v>58</v>
      </c>
      <c r="M22" s="33">
        <f t="shared" si="1"/>
        <v>0.5128774422735346</v>
      </c>
      <c r="N22" s="33">
        <f t="shared" si="2"/>
        <v>0.48712255772646534</v>
      </c>
      <c r="O22" s="87">
        <f t="shared" si="3"/>
        <v>2.5754884547069257E-2</v>
      </c>
    </row>
    <row r="23" spans="1:15" ht="17.399999999999999" customHeight="1" x14ac:dyDescent="0.4">
      <c r="A23" s="4" t="s">
        <v>27</v>
      </c>
      <c r="B23" s="4" t="s">
        <v>16</v>
      </c>
      <c r="C23" s="5">
        <v>9738</v>
      </c>
      <c r="D23" s="5">
        <v>5523</v>
      </c>
      <c r="E23" s="5">
        <v>4215</v>
      </c>
      <c r="F23" s="6">
        <v>210</v>
      </c>
      <c r="G23" s="5">
        <v>4005</v>
      </c>
      <c r="H23" s="5">
        <v>1287</v>
      </c>
      <c r="I23" s="6">
        <v>894</v>
      </c>
      <c r="J23" s="6">
        <v>487</v>
      </c>
      <c r="K23" s="5">
        <v>1337</v>
      </c>
      <c r="L23" s="98">
        <f t="shared" si="0"/>
        <v>-457</v>
      </c>
      <c r="M23" s="33">
        <f t="shared" si="1"/>
        <v>0.44294631710362048</v>
      </c>
      <c r="N23" s="33">
        <f t="shared" si="2"/>
        <v>0.55705368289637958</v>
      </c>
      <c r="O23" s="87">
        <f t="shared" si="3"/>
        <v>-0.1141073657927591</v>
      </c>
    </row>
    <row r="24" spans="1:15" s="29" customFormat="1" ht="17.399999999999999" customHeight="1" x14ac:dyDescent="0.4">
      <c r="A24" s="7" t="s">
        <v>28</v>
      </c>
      <c r="B24" s="7" t="s">
        <v>11</v>
      </c>
      <c r="C24" s="5">
        <v>7569</v>
      </c>
      <c r="D24" s="5">
        <v>3275</v>
      </c>
      <c r="E24" s="5">
        <v>4294</v>
      </c>
      <c r="F24" s="6">
        <v>293</v>
      </c>
      <c r="G24" s="8">
        <v>4001</v>
      </c>
      <c r="H24" s="10">
        <v>779</v>
      </c>
      <c r="I24" s="12">
        <v>1502</v>
      </c>
      <c r="J24" s="10">
        <v>912</v>
      </c>
      <c r="K24" s="10">
        <v>808</v>
      </c>
      <c r="L24" s="99">
        <f t="shared" si="0"/>
        <v>-619</v>
      </c>
      <c r="M24" s="32">
        <f t="shared" si="1"/>
        <v>0.4226443389152712</v>
      </c>
      <c r="N24" s="37">
        <f t="shared" si="2"/>
        <v>0.5773556610847288</v>
      </c>
      <c r="O24" s="84">
        <f t="shared" si="3"/>
        <v>-0.1547113221694576</v>
      </c>
    </row>
    <row r="25" spans="1:15" ht="17.399999999999999" customHeight="1" x14ac:dyDescent="0.4">
      <c r="A25" s="4" t="s">
        <v>28</v>
      </c>
      <c r="B25" s="4" t="s">
        <v>15</v>
      </c>
      <c r="C25" s="5">
        <v>1117</v>
      </c>
      <c r="D25" s="6">
        <v>0</v>
      </c>
      <c r="E25" s="5">
        <v>1117</v>
      </c>
      <c r="F25" s="6">
        <v>96</v>
      </c>
      <c r="G25" s="5">
        <v>1021</v>
      </c>
      <c r="H25" s="6">
        <v>243</v>
      </c>
      <c r="I25" s="6">
        <v>421</v>
      </c>
      <c r="J25" s="6">
        <v>205</v>
      </c>
      <c r="K25" s="6">
        <v>152</v>
      </c>
      <c r="L25" s="98">
        <f t="shared" si="0"/>
        <v>-125</v>
      </c>
      <c r="M25" s="33">
        <f t="shared" si="1"/>
        <v>0.43878550440744368</v>
      </c>
      <c r="N25" s="33">
        <f t="shared" si="2"/>
        <v>0.56121449559255632</v>
      </c>
      <c r="O25" s="87">
        <f t="shared" si="3"/>
        <v>-0.12242899118511263</v>
      </c>
    </row>
    <row r="26" spans="1:15" ht="17.399999999999999" customHeight="1" x14ac:dyDescent="0.4">
      <c r="A26" s="4" t="s">
        <v>28</v>
      </c>
      <c r="B26" s="4" t="s">
        <v>16</v>
      </c>
      <c r="C26" s="5">
        <v>6452</v>
      </c>
      <c r="D26" s="5">
        <v>3275</v>
      </c>
      <c r="E26" s="5">
        <v>3177</v>
      </c>
      <c r="F26" s="6">
        <v>197</v>
      </c>
      <c r="G26" s="5">
        <v>2980</v>
      </c>
      <c r="H26" s="6">
        <v>536</v>
      </c>
      <c r="I26" s="5">
        <v>1081</v>
      </c>
      <c r="J26" s="6">
        <v>707</v>
      </c>
      <c r="K26" s="6">
        <v>656</v>
      </c>
      <c r="L26" s="98">
        <f t="shared" si="0"/>
        <v>-494</v>
      </c>
      <c r="M26" s="33">
        <f t="shared" si="1"/>
        <v>0.41711409395973154</v>
      </c>
      <c r="N26" s="33">
        <f t="shared" si="2"/>
        <v>0.58288590604026846</v>
      </c>
      <c r="O26" s="87">
        <f t="shared" si="3"/>
        <v>-0.16577181208053693</v>
      </c>
    </row>
    <row r="27" spans="1:15" s="29" customFormat="1" ht="17.399999999999999" customHeight="1" x14ac:dyDescent="0.4">
      <c r="A27" s="7" t="s">
        <v>29</v>
      </c>
      <c r="B27" s="7" t="s">
        <v>11</v>
      </c>
      <c r="C27" s="5">
        <v>4342</v>
      </c>
      <c r="D27" s="5">
        <v>1588</v>
      </c>
      <c r="E27" s="5">
        <v>2754</v>
      </c>
      <c r="F27" s="6">
        <v>194</v>
      </c>
      <c r="G27" s="8">
        <v>2560</v>
      </c>
      <c r="H27" s="10">
        <v>487</v>
      </c>
      <c r="I27" s="11">
        <v>918</v>
      </c>
      <c r="J27" s="10">
        <v>601</v>
      </c>
      <c r="K27" s="10">
        <v>554</v>
      </c>
      <c r="L27" s="99">
        <f t="shared" si="0"/>
        <v>-384</v>
      </c>
      <c r="M27" s="32">
        <f t="shared" si="1"/>
        <v>0.42499999999999999</v>
      </c>
      <c r="N27" s="37">
        <f t="shared" si="2"/>
        <v>0.57499999999999996</v>
      </c>
      <c r="O27" s="84">
        <f t="shared" si="3"/>
        <v>-0.14999999999999997</v>
      </c>
    </row>
    <row r="28" spans="1:15" ht="17.399999999999999" customHeight="1" x14ac:dyDescent="0.4">
      <c r="A28" s="4" t="s">
        <v>29</v>
      </c>
      <c r="B28" s="4" t="s">
        <v>15</v>
      </c>
      <c r="C28" s="6">
        <v>934</v>
      </c>
      <c r="D28" s="6">
        <v>0</v>
      </c>
      <c r="E28" s="6">
        <v>934</v>
      </c>
      <c r="F28" s="6">
        <v>75</v>
      </c>
      <c r="G28" s="6">
        <v>859</v>
      </c>
      <c r="H28" s="6">
        <v>185</v>
      </c>
      <c r="I28" s="6">
        <v>344</v>
      </c>
      <c r="J28" s="6">
        <v>185</v>
      </c>
      <c r="K28" s="6">
        <v>145</v>
      </c>
      <c r="L28" s="98">
        <f t="shared" si="0"/>
        <v>-119</v>
      </c>
      <c r="M28" s="33">
        <f t="shared" si="1"/>
        <v>0.43073341094295692</v>
      </c>
      <c r="N28" s="33">
        <f t="shared" si="2"/>
        <v>0.56926658905704308</v>
      </c>
      <c r="O28" s="87">
        <f t="shared" si="3"/>
        <v>-0.13853317811408616</v>
      </c>
    </row>
    <row r="29" spans="1:15" ht="17.399999999999999" customHeight="1" x14ac:dyDescent="0.4">
      <c r="A29" s="4" t="s">
        <v>29</v>
      </c>
      <c r="B29" s="4" t="s">
        <v>16</v>
      </c>
      <c r="C29" s="5">
        <v>3408</v>
      </c>
      <c r="D29" s="5">
        <v>1588</v>
      </c>
      <c r="E29" s="5">
        <v>1820</v>
      </c>
      <c r="F29" s="6">
        <v>119</v>
      </c>
      <c r="G29" s="5">
        <v>1701</v>
      </c>
      <c r="H29" s="6">
        <v>302</v>
      </c>
      <c r="I29" s="6">
        <v>574</v>
      </c>
      <c r="J29" s="6">
        <v>416</v>
      </c>
      <c r="K29" s="6">
        <v>409</v>
      </c>
      <c r="L29" s="98">
        <f t="shared" si="0"/>
        <v>-265</v>
      </c>
      <c r="M29" s="33">
        <f t="shared" si="1"/>
        <v>0.42210464432686656</v>
      </c>
      <c r="N29" s="33">
        <f t="shared" si="2"/>
        <v>0.57789535567313344</v>
      </c>
      <c r="O29" s="87">
        <f t="shared" si="3"/>
        <v>-0.15579071134626687</v>
      </c>
    </row>
    <row r="30" spans="1:15" s="29" customFormat="1" ht="17.399999999999999" customHeight="1" x14ac:dyDescent="0.4">
      <c r="A30" s="7" t="s">
        <v>30</v>
      </c>
      <c r="B30" s="7" t="s">
        <v>11</v>
      </c>
      <c r="C30" s="5">
        <v>6526</v>
      </c>
      <c r="D30" s="5">
        <v>2703</v>
      </c>
      <c r="E30" s="5">
        <v>3823</v>
      </c>
      <c r="F30" s="6">
        <v>253</v>
      </c>
      <c r="G30" s="8">
        <v>3570</v>
      </c>
      <c r="H30" s="10">
        <v>553</v>
      </c>
      <c r="I30" s="12">
        <v>1303</v>
      </c>
      <c r="J30" s="10">
        <v>904</v>
      </c>
      <c r="K30" s="10">
        <v>810</v>
      </c>
      <c r="L30" s="99">
        <f t="shared" si="0"/>
        <v>-656</v>
      </c>
      <c r="M30" s="32">
        <f t="shared" si="1"/>
        <v>0.40812324929971988</v>
      </c>
      <c r="N30" s="37">
        <f t="shared" si="2"/>
        <v>0.59187675070028012</v>
      </c>
      <c r="O30" s="84">
        <f t="shared" si="3"/>
        <v>-0.18375350140056024</v>
      </c>
    </row>
    <row r="31" spans="1:15" ht="17.399999999999999" customHeight="1" x14ac:dyDescent="0.4">
      <c r="A31" s="4" t="s">
        <v>30</v>
      </c>
      <c r="B31" s="4" t="s">
        <v>15</v>
      </c>
      <c r="C31" s="5">
        <v>1509</v>
      </c>
      <c r="D31" s="6">
        <v>0</v>
      </c>
      <c r="E31" s="5">
        <v>1509</v>
      </c>
      <c r="F31" s="6">
        <v>96</v>
      </c>
      <c r="G31" s="5">
        <v>1413</v>
      </c>
      <c r="H31" s="6">
        <v>254</v>
      </c>
      <c r="I31" s="6">
        <v>563</v>
      </c>
      <c r="J31" s="6">
        <v>357</v>
      </c>
      <c r="K31" s="6">
        <v>239</v>
      </c>
      <c r="L31" s="98">
        <f t="shared" si="0"/>
        <v>-191</v>
      </c>
      <c r="M31" s="33">
        <f t="shared" si="1"/>
        <v>0.43241330502476999</v>
      </c>
      <c r="N31" s="33">
        <f t="shared" si="2"/>
        <v>0.56758669497522996</v>
      </c>
      <c r="O31" s="87">
        <f t="shared" si="3"/>
        <v>-0.13517338995045997</v>
      </c>
    </row>
    <row r="32" spans="1:15" ht="17.399999999999999" customHeight="1" x14ac:dyDescent="0.4">
      <c r="A32" s="4" t="s">
        <v>30</v>
      </c>
      <c r="B32" s="4" t="s">
        <v>16</v>
      </c>
      <c r="C32" s="5">
        <v>5017</v>
      </c>
      <c r="D32" s="5">
        <v>2703</v>
      </c>
      <c r="E32" s="5">
        <v>2314</v>
      </c>
      <c r="F32" s="6">
        <v>157</v>
      </c>
      <c r="G32" s="5">
        <v>2157</v>
      </c>
      <c r="H32" s="6">
        <v>299</v>
      </c>
      <c r="I32" s="6">
        <v>740</v>
      </c>
      <c r="J32" s="6">
        <v>547</v>
      </c>
      <c r="K32" s="6">
        <v>571</v>
      </c>
      <c r="L32" s="98">
        <f t="shared" si="0"/>
        <v>-465</v>
      </c>
      <c r="M32" s="33">
        <f t="shared" si="1"/>
        <v>0.39221140472878996</v>
      </c>
      <c r="N32" s="33">
        <f t="shared" si="2"/>
        <v>0.60778859527120999</v>
      </c>
      <c r="O32" s="87">
        <f t="shared" si="3"/>
        <v>-0.21557719054242003</v>
      </c>
    </row>
    <row r="33" spans="1:15" s="29" customFormat="1" ht="17.399999999999999" customHeight="1" x14ac:dyDescent="0.4">
      <c r="A33" s="7" t="s">
        <v>31</v>
      </c>
      <c r="B33" s="7" t="s">
        <v>11</v>
      </c>
      <c r="C33" s="5">
        <v>4488</v>
      </c>
      <c r="D33" s="5">
        <v>2090</v>
      </c>
      <c r="E33" s="5">
        <v>2398</v>
      </c>
      <c r="F33" s="6">
        <v>168</v>
      </c>
      <c r="G33" s="8">
        <v>2230</v>
      </c>
      <c r="H33" s="10">
        <v>349</v>
      </c>
      <c r="I33" s="11">
        <v>887</v>
      </c>
      <c r="J33" s="10">
        <v>553</v>
      </c>
      <c r="K33" s="10">
        <v>441</v>
      </c>
      <c r="L33" s="99">
        <f t="shared" si="0"/>
        <v>-426</v>
      </c>
      <c r="M33" s="32">
        <f t="shared" si="1"/>
        <v>0.40448430493273541</v>
      </c>
      <c r="N33" s="37">
        <f t="shared" si="2"/>
        <v>0.59551569506726454</v>
      </c>
      <c r="O33" s="84">
        <f t="shared" si="3"/>
        <v>-0.19103139013452913</v>
      </c>
    </row>
    <row r="34" spans="1:15" ht="17.399999999999999" customHeight="1" x14ac:dyDescent="0.4">
      <c r="A34" s="4" t="s">
        <v>31</v>
      </c>
      <c r="B34" s="4" t="s">
        <v>15</v>
      </c>
      <c r="C34" s="6">
        <v>611</v>
      </c>
      <c r="D34" s="6">
        <v>0</v>
      </c>
      <c r="E34" s="6">
        <v>611</v>
      </c>
      <c r="F34" s="6">
        <v>52</v>
      </c>
      <c r="G34" s="6">
        <v>559</v>
      </c>
      <c r="H34" s="6">
        <v>115</v>
      </c>
      <c r="I34" s="6">
        <v>237</v>
      </c>
      <c r="J34" s="6">
        <v>119</v>
      </c>
      <c r="K34" s="6">
        <v>88</v>
      </c>
      <c r="L34" s="98">
        <f t="shared" si="0"/>
        <v>-91</v>
      </c>
      <c r="M34" s="33">
        <f t="shared" si="1"/>
        <v>0.41860465116279072</v>
      </c>
      <c r="N34" s="33">
        <f t="shared" si="2"/>
        <v>0.58139534883720934</v>
      </c>
      <c r="O34" s="87">
        <f t="shared" si="3"/>
        <v>-0.16279069767441862</v>
      </c>
    </row>
    <row r="35" spans="1:15" ht="17.399999999999999" customHeight="1" x14ac:dyDescent="0.4">
      <c r="A35" s="4" t="s">
        <v>31</v>
      </c>
      <c r="B35" s="4" t="s">
        <v>16</v>
      </c>
      <c r="C35" s="5">
        <v>3877</v>
      </c>
      <c r="D35" s="5">
        <v>2090</v>
      </c>
      <c r="E35" s="5">
        <v>1787</v>
      </c>
      <c r="F35" s="6">
        <v>116</v>
      </c>
      <c r="G35" s="5">
        <v>1671</v>
      </c>
      <c r="H35" s="6">
        <v>234</v>
      </c>
      <c r="I35" s="6">
        <v>650</v>
      </c>
      <c r="J35" s="6">
        <v>434</v>
      </c>
      <c r="K35" s="6">
        <v>353</v>
      </c>
      <c r="L35" s="98">
        <f t="shared" si="0"/>
        <v>-335</v>
      </c>
      <c r="M35" s="33">
        <f t="shared" si="1"/>
        <v>0.39976062238180732</v>
      </c>
      <c r="N35" s="33">
        <f t="shared" si="2"/>
        <v>0.60023937761819268</v>
      </c>
      <c r="O35" s="87">
        <f t="shared" si="3"/>
        <v>-0.20047875523638536</v>
      </c>
    </row>
    <row r="36" spans="1:15" s="29" customFormat="1" ht="17.399999999999999" customHeight="1" x14ac:dyDescent="0.4">
      <c r="A36" s="7" t="s">
        <v>32</v>
      </c>
      <c r="B36" s="7" t="s">
        <v>11</v>
      </c>
      <c r="C36" s="5">
        <v>14333</v>
      </c>
      <c r="D36" s="5">
        <v>6416</v>
      </c>
      <c r="E36" s="5">
        <v>7917</v>
      </c>
      <c r="F36" s="6">
        <v>349</v>
      </c>
      <c r="G36" s="8">
        <v>7568</v>
      </c>
      <c r="H36" s="8">
        <v>2492</v>
      </c>
      <c r="I36" s="8">
        <v>1528</v>
      </c>
      <c r="J36" s="10">
        <v>855</v>
      </c>
      <c r="K36" s="12">
        <v>2693</v>
      </c>
      <c r="L36" s="99">
        <f t="shared" si="0"/>
        <v>-874</v>
      </c>
      <c r="M36" s="32">
        <f t="shared" si="1"/>
        <v>0.4422568710359408</v>
      </c>
      <c r="N36" s="37">
        <f t="shared" si="2"/>
        <v>0.5577431289640592</v>
      </c>
      <c r="O36" s="84">
        <f t="shared" si="3"/>
        <v>-0.1154862579281184</v>
      </c>
    </row>
    <row r="37" spans="1:15" ht="17.399999999999999" customHeight="1" x14ac:dyDescent="0.4">
      <c r="A37" s="4" t="s">
        <v>32</v>
      </c>
      <c r="B37" s="4" t="s">
        <v>15</v>
      </c>
      <c r="C37" s="5">
        <v>2507</v>
      </c>
      <c r="D37" s="6">
        <v>0</v>
      </c>
      <c r="E37" s="5">
        <v>2507</v>
      </c>
      <c r="F37" s="6">
        <v>107</v>
      </c>
      <c r="G37" s="5">
        <v>2400</v>
      </c>
      <c r="H37" s="6">
        <v>915</v>
      </c>
      <c r="I37" s="6">
        <v>413</v>
      </c>
      <c r="J37" s="6">
        <v>315</v>
      </c>
      <c r="K37" s="6">
        <v>757</v>
      </c>
      <c r="L37" s="98">
        <f t="shared" si="0"/>
        <v>60</v>
      </c>
      <c r="M37" s="33">
        <f t="shared" si="1"/>
        <v>0.51249999999999996</v>
      </c>
      <c r="N37" s="33">
        <f t="shared" si="2"/>
        <v>0.48749999999999999</v>
      </c>
      <c r="O37" s="87">
        <f t="shared" si="3"/>
        <v>2.4999999999999967E-2</v>
      </c>
    </row>
    <row r="38" spans="1:15" ht="17.399999999999999" customHeight="1" x14ac:dyDescent="0.4">
      <c r="A38" s="4" t="s">
        <v>32</v>
      </c>
      <c r="B38" s="4" t="s">
        <v>16</v>
      </c>
      <c r="C38" s="5">
        <v>11826</v>
      </c>
      <c r="D38" s="5">
        <v>6416</v>
      </c>
      <c r="E38" s="5">
        <v>5410</v>
      </c>
      <c r="F38" s="6">
        <v>242</v>
      </c>
      <c r="G38" s="5">
        <v>5168</v>
      </c>
      <c r="H38" s="5">
        <v>1577</v>
      </c>
      <c r="I38" s="5">
        <v>1115</v>
      </c>
      <c r="J38" s="6">
        <v>540</v>
      </c>
      <c r="K38" s="5">
        <v>1936</v>
      </c>
      <c r="L38" s="98">
        <f t="shared" si="0"/>
        <v>-934</v>
      </c>
      <c r="M38" s="33">
        <f t="shared" si="1"/>
        <v>0.40963622291021673</v>
      </c>
      <c r="N38" s="33">
        <f t="shared" si="2"/>
        <v>0.59036377708978327</v>
      </c>
      <c r="O38" s="87">
        <f t="shared" si="3"/>
        <v>-0.18072755417956654</v>
      </c>
    </row>
    <row r="39" spans="1:15" s="29" customFormat="1" ht="17.399999999999999" customHeight="1" x14ac:dyDescent="0.4">
      <c r="A39" s="7" t="s">
        <v>33</v>
      </c>
      <c r="B39" s="7" t="s">
        <v>11</v>
      </c>
      <c r="C39" s="5">
        <v>13425</v>
      </c>
      <c r="D39" s="5">
        <v>5784</v>
      </c>
      <c r="E39" s="5">
        <v>7641</v>
      </c>
      <c r="F39" s="6">
        <v>338</v>
      </c>
      <c r="G39" s="8">
        <v>7303</v>
      </c>
      <c r="H39" s="8">
        <v>1707</v>
      </c>
      <c r="I39" s="8">
        <v>1583</v>
      </c>
      <c r="J39" s="8">
        <v>1608</v>
      </c>
      <c r="K39" s="12">
        <v>2405</v>
      </c>
      <c r="L39" s="99">
        <f t="shared" si="0"/>
        <v>-673</v>
      </c>
      <c r="M39" s="32">
        <f t="shared" si="1"/>
        <v>0.45392304532383954</v>
      </c>
      <c r="N39" s="37">
        <f t="shared" si="2"/>
        <v>0.54607695467616046</v>
      </c>
      <c r="O39" s="84">
        <f t="shared" si="3"/>
        <v>-9.2153909352320929E-2</v>
      </c>
    </row>
    <row r="40" spans="1:15" ht="17.399999999999999" customHeight="1" x14ac:dyDescent="0.4">
      <c r="A40" s="4" t="s">
        <v>33</v>
      </c>
      <c r="B40" s="4" t="s">
        <v>15</v>
      </c>
      <c r="C40" s="5">
        <v>2727</v>
      </c>
      <c r="D40" s="6">
        <v>0</v>
      </c>
      <c r="E40" s="5">
        <v>2727</v>
      </c>
      <c r="F40" s="6">
        <v>122</v>
      </c>
      <c r="G40" s="5">
        <v>2605</v>
      </c>
      <c r="H40" s="6">
        <v>782</v>
      </c>
      <c r="I40" s="6">
        <v>521</v>
      </c>
      <c r="J40" s="6">
        <v>687</v>
      </c>
      <c r="K40" s="6">
        <v>615</v>
      </c>
      <c r="L40" s="98">
        <f t="shared" si="0"/>
        <v>333</v>
      </c>
      <c r="M40" s="33">
        <f t="shared" si="1"/>
        <v>0.56391554702495206</v>
      </c>
      <c r="N40" s="33">
        <f t="shared" si="2"/>
        <v>0.436084452975048</v>
      </c>
      <c r="O40" s="87">
        <f t="shared" si="3"/>
        <v>0.12783109404990406</v>
      </c>
    </row>
    <row r="41" spans="1:15" ht="17.399999999999999" customHeight="1" x14ac:dyDescent="0.4">
      <c r="A41" s="4" t="s">
        <v>33</v>
      </c>
      <c r="B41" s="4" t="s">
        <v>16</v>
      </c>
      <c r="C41" s="5">
        <v>10698</v>
      </c>
      <c r="D41" s="5">
        <v>5784</v>
      </c>
      <c r="E41" s="5">
        <v>4914</v>
      </c>
      <c r="F41" s="6">
        <v>216</v>
      </c>
      <c r="G41" s="5">
        <v>4698</v>
      </c>
      <c r="H41" s="6">
        <v>925</v>
      </c>
      <c r="I41" s="5">
        <v>1062</v>
      </c>
      <c r="J41" s="6">
        <v>921</v>
      </c>
      <c r="K41" s="5">
        <v>1790</v>
      </c>
      <c r="L41" s="98">
        <f t="shared" si="0"/>
        <v>-1006</v>
      </c>
      <c r="M41" s="33">
        <f t="shared" si="1"/>
        <v>0.39293316304810555</v>
      </c>
      <c r="N41" s="33">
        <f t="shared" si="2"/>
        <v>0.60706683695189445</v>
      </c>
      <c r="O41" s="87">
        <f t="shared" si="3"/>
        <v>-0.2141336739037889</v>
      </c>
    </row>
    <row r="42" spans="1:15" s="29" customFormat="1" ht="17.399999999999999" customHeight="1" x14ac:dyDescent="0.4">
      <c r="A42" s="7" t="s">
        <v>34</v>
      </c>
      <c r="B42" s="7" t="s">
        <v>11</v>
      </c>
      <c r="C42" s="5">
        <v>6768</v>
      </c>
      <c r="D42" s="5">
        <v>3068</v>
      </c>
      <c r="E42" s="5">
        <v>3700</v>
      </c>
      <c r="F42" s="6">
        <v>180</v>
      </c>
      <c r="G42" s="8">
        <v>3520</v>
      </c>
      <c r="H42" s="10">
        <v>787</v>
      </c>
      <c r="I42" s="10">
        <v>704</v>
      </c>
      <c r="J42" s="10">
        <v>756</v>
      </c>
      <c r="K42" s="12">
        <v>1273</v>
      </c>
      <c r="L42" s="99">
        <f t="shared" si="0"/>
        <v>-434</v>
      </c>
      <c r="M42" s="32">
        <f t="shared" si="1"/>
        <v>0.43835227272727273</v>
      </c>
      <c r="N42" s="37">
        <f t="shared" si="2"/>
        <v>0.56164772727272727</v>
      </c>
      <c r="O42" s="84">
        <f t="shared" si="3"/>
        <v>-0.12329545454545454</v>
      </c>
    </row>
    <row r="43" spans="1:15" ht="17.399999999999999" customHeight="1" x14ac:dyDescent="0.4">
      <c r="A43" s="4" t="s">
        <v>34</v>
      </c>
      <c r="B43" s="4" t="s">
        <v>15</v>
      </c>
      <c r="C43" s="5">
        <v>1068</v>
      </c>
      <c r="D43" s="6">
        <v>0</v>
      </c>
      <c r="E43" s="5">
        <v>1068</v>
      </c>
      <c r="F43" s="6">
        <v>47</v>
      </c>
      <c r="G43" s="5">
        <v>1021</v>
      </c>
      <c r="H43" s="6">
        <v>325</v>
      </c>
      <c r="I43" s="6">
        <v>180</v>
      </c>
      <c r="J43" s="6">
        <v>271</v>
      </c>
      <c r="K43" s="6">
        <v>245</v>
      </c>
      <c r="L43" s="98">
        <f t="shared" si="0"/>
        <v>171</v>
      </c>
      <c r="M43" s="33">
        <f t="shared" si="1"/>
        <v>0.58374142997061707</v>
      </c>
      <c r="N43" s="33">
        <f t="shared" si="2"/>
        <v>0.41625857002938293</v>
      </c>
      <c r="O43" s="87">
        <f t="shared" si="3"/>
        <v>0.16748285994123413</v>
      </c>
    </row>
    <row r="44" spans="1:15" ht="17.399999999999999" customHeight="1" x14ac:dyDescent="0.4">
      <c r="A44" s="4" t="s">
        <v>34</v>
      </c>
      <c r="B44" s="4" t="s">
        <v>16</v>
      </c>
      <c r="C44" s="5">
        <v>5700</v>
      </c>
      <c r="D44" s="5">
        <v>3068</v>
      </c>
      <c r="E44" s="5">
        <v>2632</v>
      </c>
      <c r="F44" s="6">
        <v>133</v>
      </c>
      <c r="G44" s="5">
        <v>2499</v>
      </c>
      <c r="H44" s="6">
        <v>462</v>
      </c>
      <c r="I44" s="6">
        <v>524</v>
      </c>
      <c r="J44" s="6">
        <v>485</v>
      </c>
      <c r="K44" s="5">
        <v>1028</v>
      </c>
      <c r="L44" s="98">
        <f t="shared" si="0"/>
        <v>-605</v>
      </c>
      <c r="M44" s="33">
        <f t="shared" si="1"/>
        <v>0.37895158063225293</v>
      </c>
      <c r="N44" s="33">
        <f t="shared" si="2"/>
        <v>0.62104841936774713</v>
      </c>
      <c r="O44" s="87">
        <f t="shared" si="3"/>
        <v>-0.2420968387354942</v>
      </c>
    </row>
    <row r="45" spans="1:15" s="29" customFormat="1" ht="17.399999999999999" customHeight="1" x14ac:dyDescent="0.4">
      <c r="A45" s="7" t="s">
        <v>35</v>
      </c>
      <c r="B45" s="7" t="s">
        <v>11</v>
      </c>
      <c r="C45" s="5">
        <v>13312</v>
      </c>
      <c r="D45" s="5">
        <v>5756</v>
      </c>
      <c r="E45" s="5">
        <v>7556</v>
      </c>
      <c r="F45" s="6">
        <v>393</v>
      </c>
      <c r="G45" s="8">
        <v>7163</v>
      </c>
      <c r="H45" s="8">
        <v>1818</v>
      </c>
      <c r="I45" s="8">
        <v>1612</v>
      </c>
      <c r="J45" s="8">
        <v>1551</v>
      </c>
      <c r="K45" s="12">
        <v>2182</v>
      </c>
      <c r="L45" s="99">
        <f t="shared" si="0"/>
        <v>-425</v>
      </c>
      <c r="M45" s="32">
        <f t="shared" si="1"/>
        <v>0.47033365908139046</v>
      </c>
      <c r="N45" s="37">
        <f t="shared" si="2"/>
        <v>0.52966634091860954</v>
      </c>
      <c r="O45" s="84">
        <f t="shared" si="3"/>
        <v>-5.933268183721907E-2</v>
      </c>
    </row>
    <row r="46" spans="1:15" ht="17.399999999999999" customHeight="1" x14ac:dyDescent="0.4">
      <c r="A46" s="4" t="s">
        <v>35</v>
      </c>
      <c r="B46" s="4" t="s">
        <v>15</v>
      </c>
      <c r="C46" s="5">
        <v>2686</v>
      </c>
      <c r="D46" s="6">
        <v>0</v>
      </c>
      <c r="E46" s="5">
        <v>2686</v>
      </c>
      <c r="F46" s="6">
        <v>132</v>
      </c>
      <c r="G46" s="5">
        <v>2554</v>
      </c>
      <c r="H46" s="6">
        <v>810</v>
      </c>
      <c r="I46" s="6">
        <v>574</v>
      </c>
      <c r="J46" s="6">
        <v>598</v>
      </c>
      <c r="K46" s="6">
        <v>572</v>
      </c>
      <c r="L46" s="98">
        <f t="shared" si="0"/>
        <v>262</v>
      </c>
      <c r="M46" s="33">
        <f t="shared" si="1"/>
        <v>0.55129209083790132</v>
      </c>
      <c r="N46" s="33">
        <f t="shared" si="2"/>
        <v>0.44870790916209868</v>
      </c>
      <c r="O46" s="87">
        <f t="shared" si="3"/>
        <v>0.10258418167580263</v>
      </c>
    </row>
    <row r="47" spans="1:15" ht="17.399999999999999" customHeight="1" x14ac:dyDescent="0.4">
      <c r="A47" s="4" t="s">
        <v>35</v>
      </c>
      <c r="B47" s="4" t="s">
        <v>16</v>
      </c>
      <c r="C47" s="5">
        <v>10626</v>
      </c>
      <c r="D47" s="5">
        <v>5756</v>
      </c>
      <c r="E47" s="5">
        <v>4870</v>
      </c>
      <c r="F47" s="6">
        <v>261</v>
      </c>
      <c r="G47" s="5">
        <v>4609</v>
      </c>
      <c r="H47" s="5">
        <v>1008</v>
      </c>
      <c r="I47" s="5">
        <v>1038</v>
      </c>
      <c r="J47" s="6">
        <v>953</v>
      </c>
      <c r="K47" s="5">
        <v>1610</v>
      </c>
      <c r="L47" s="98">
        <f t="shared" si="0"/>
        <v>-687</v>
      </c>
      <c r="M47" s="33">
        <f t="shared" si="1"/>
        <v>0.42547190279887176</v>
      </c>
      <c r="N47" s="33">
        <f t="shared" si="2"/>
        <v>0.57452809720112819</v>
      </c>
      <c r="O47" s="87">
        <f t="shared" si="3"/>
        <v>-0.14905619440225643</v>
      </c>
    </row>
    <row r="48" spans="1:15" s="29" customFormat="1" ht="17.399999999999999" customHeight="1" x14ac:dyDescent="0.4">
      <c r="A48" s="7" t="s">
        <v>36</v>
      </c>
      <c r="B48" s="7" t="s">
        <v>11</v>
      </c>
      <c r="C48" s="5">
        <v>25327</v>
      </c>
      <c r="D48" s="5">
        <v>10995</v>
      </c>
      <c r="E48" s="5">
        <v>14332</v>
      </c>
      <c r="F48" s="6">
        <v>571</v>
      </c>
      <c r="G48" s="8">
        <v>13761</v>
      </c>
      <c r="H48" s="9">
        <v>5806</v>
      </c>
      <c r="I48" s="8">
        <v>4071</v>
      </c>
      <c r="J48" s="8">
        <v>1431</v>
      </c>
      <c r="K48" s="8">
        <v>2453</v>
      </c>
      <c r="L48" s="97">
        <f t="shared" si="0"/>
        <v>713</v>
      </c>
      <c r="M48" s="35">
        <f t="shared" si="1"/>
        <v>0.52590654748928134</v>
      </c>
      <c r="N48" s="32">
        <f t="shared" si="2"/>
        <v>0.47409345251071872</v>
      </c>
      <c r="O48" s="82">
        <f t="shared" si="3"/>
        <v>5.1813094978562624E-2</v>
      </c>
    </row>
    <row r="49" spans="1:15" ht="17.399999999999999" customHeight="1" x14ac:dyDescent="0.4">
      <c r="A49" s="4" t="s">
        <v>36</v>
      </c>
      <c r="B49" s="4" t="s">
        <v>15</v>
      </c>
      <c r="C49" s="5">
        <v>4072</v>
      </c>
      <c r="D49" s="6">
        <v>2</v>
      </c>
      <c r="E49" s="5">
        <v>4070</v>
      </c>
      <c r="F49" s="6">
        <v>158</v>
      </c>
      <c r="G49" s="5">
        <v>3912</v>
      </c>
      <c r="H49" s="5">
        <v>1990</v>
      </c>
      <c r="I49" s="6">
        <v>944</v>
      </c>
      <c r="J49" s="6">
        <v>425</v>
      </c>
      <c r="K49" s="6">
        <v>553</v>
      </c>
      <c r="L49" s="98">
        <f t="shared" si="0"/>
        <v>918</v>
      </c>
      <c r="M49" s="33">
        <f t="shared" si="1"/>
        <v>0.61733128834355833</v>
      </c>
      <c r="N49" s="33">
        <f t="shared" si="2"/>
        <v>0.38266871165644173</v>
      </c>
      <c r="O49" s="87">
        <f t="shared" si="3"/>
        <v>0.2346625766871166</v>
      </c>
    </row>
    <row r="50" spans="1:15" ht="17.399999999999999" customHeight="1" x14ac:dyDescent="0.4">
      <c r="A50" s="4" t="s">
        <v>36</v>
      </c>
      <c r="B50" s="4" t="s">
        <v>16</v>
      </c>
      <c r="C50" s="5">
        <v>21255</v>
      </c>
      <c r="D50" s="5">
        <v>10993</v>
      </c>
      <c r="E50" s="5">
        <v>10262</v>
      </c>
      <c r="F50" s="6">
        <v>413</v>
      </c>
      <c r="G50" s="5">
        <v>9849</v>
      </c>
      <c r="H50" s="5">
        <v>3816</v>
      </c>
      <c r="I50" s="5">
        <v>3127</v>
      </c>
      <c r="J50" s="5">
        <v>1006</v>
      </c>
      <c r="K50" s="5">
        <v>1900</v>
      </c>
      <c r="L50" s="98">
        <f t="shared" si="0"/>
        <v>-205</v>
      </c>
      <c r="M50" s="33">
        <f t="shared" si="1"/>
        <v>0.48959285206619962</v>
      </c>
      <c r="N50" s="33">
        <f t="shared" si="2"/>
        <v>0.51040714793380038</v>
      </c>
      <c r="O50" s="87">
        <f t="shared" si="3"/>
        <v>-2.0814295867600752E-2</v>
      </c>
    </row>
    <row r="51" spans="1:15" ht="17.399999999999999" customHeight="1" x14ac:dyDescent="0.4">
      <c r="A51" s="4" t="s">
        <v>17</v>
      </c>
      <c r="B51" s="4"/>
      <c r="C51" s="6">
        <v>0</v>
      </c>
      <c r="D51" s="6">
        <v>-8</v>
      </c>
      <c r="E51" s="6">
        <v>8</v>
      </c>
      <c r="F51" s="6">
        <v>4</v>
      </c>
      <c r="G51" s="6">
        <v>4</v>
      </c>
      <c r="H51" s="6">
        <v>2</v>
      </c>
      <c r="I51" s="6">
        <v>1</v>
      </c>
      <c r="J51" s="6">
        <v>0</v>
      </c>
      <c r="K51" s="6">
        <v>1</v>
      </c>
      <c r="L51" s="86"/>
      <c r="M51" s="33"/>
      <c r="N51" s="33"/>
      <c r="O51" s="86"/>
    </row>
  </sheetData>
  <mergeCells count="9">
    <mergeCell ref="G1:G2"/>
    <mergeCell ref="L1:L2"/>
    <mergeCell ref="H1:K1"/>
    <mergeCell ref="M1:O1"/>
    <mergeCell ref="A1:A2"/>
    <mergeCell ref="B1:B2"/>
    <mergeCell ref="C1:C2"/>
    <mergeCell ref="E1:E2"/>
    <mergeCell ref="D1:D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선거인수</vt:lpstr>
      <vt:lpstr>동읍면선거인수</vt:lpstr>
      <vt:lpstr>총인구</vt:lpstr>
      <vt:lpstr>동읍면인구</vt:lpstr>
      <vt:lpstr>최종분석</vt:lpstr>
      <vt:lpstr>도지사</vt:lpstr>
      <vt:lpstr>시장</vt:lpstr>
      <vt:lpstr>도(1) ,시(가,나)의원</vt:lpstr>
      <vt:lpstr>도(2),시(다,라)의원</vt:lpstr>
      <vt:lpstr>도(3),시(마,바)의원</vt:lpstr>
      <vt:lpstr>광역비례대표</vt:lpstr>
      <vt:lpstr>기초비례대표</vt:lpstr>
      <vt:lpstr>교육감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아영 우</dc:creator>
  <cp:lastModifiedBy>아영 우</cp:lastModifiedBy>
  <cp:lastPrinted>2026-07-08T04:33:42Z</cp:lastPrinted>
  <dcterms:created xsi:type="dcterms:W3CDTF">2026-06-12T09:46:31Z</dcterms:created>
  <dcterms:modified xsi:type="dcterms:W3CDTF">2026-07-23T11:54:38Z</dcterms:modified>
</cp:coreProperties>
</file>